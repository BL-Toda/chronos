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前提根拠" sheetId="1" state="visible" r:id="rId1"/>
    <sheet xmlns:r="http://schemas.openxmlformats.org/officeDocument/2006/relationships" name="悲観シナリオ" sheetId="2" state="visible" r:id="rId2"/>
    <sheet xmlns:r="http://schemas.openxmlformats.org/officeDocument/2006/relationships" name="標準シナリオ" sheetId="3" state="visible" r:id="rId3"/>
    <sheet xmlns:r="http://schemas.openxmlformats.org/officeDocument/2006/relationships" name="楽観シナリオ" sheetId="4" state="visible" r:id="rId4"/>
    <sheet xmlns:r="http://schemas.openxmlformats.org/officeDocument/2006/relationships" name="シナリオ比較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¥#,##0"/>
    <numFmt numFmtId="165" formatCode="0.0%"/>
    <numFmt numFmtId="166" formatCode="#,##0;\(#,##0\);\-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1"/>
    </font>
    <font>
      <name val="Noto Sans CJK SC"/>
      <family val="2"/>
      <sz val="9"/>
    </font>
    <font>
      <name val="Arial"/>
      <charset val="1"/>
      <family val="0"/>
      <color rgb="FF888888"/>
      <sz val="8"/>
    </font>
    <font>
      <name val="Noto Sans CJK SC"/>
      <family val="2"/>
      <color rgb="FF888888"/>
      <sz val="8"/>
    </font>
    <font>
      <name val="Arial"/>
      <charset val="1"/>
      <family val="0"/>
      <sz val="9"/>
    </font>
    <font>
      <name val="Noto Sans CJK SC"/>
      <family val="2"/>
      <b val="1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4"/>
    </font>
    <font>
      <name val="Noto Sans CJK SC"/>
      <family val="2"/>
      <b val="1"/>
      <sz val="14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888888"/>
      <sz val="8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b val="1"/>
      <sz val="9"/>
    </font>
    <font>
      <name val="Arial"/>
      <sz val="9"/>
    </font>
    <font>
      <name val="Arial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FFFFF8EE"/>
        <bgColor rgb="FFFFFFFF"/>
      </patternFill>
    </fill>
    <fill>
      <patternFill patternType="solid">
        <fgColor rgb="FF2D2D30"/>
        <bgColor rgb="FF1A1A1D"/>
      </patternFill>
    </fill>
    <fill>
      <patternFill patternType="solid">
        <fgColor rgb="FF1A1A1D"/>
        <bgColor rgb="FF2D2D30"/>
      </patternFill>
    </fill>
    <fill>
      <patternFill patternType="solid">
        <fgColor rgb="FFE8E4DE"/>
        <bgColor rgb="FFD4E8D4"/>
      </patternFill>
    </fill>
    <fill>
      <patternFill patternType="solid">
        <fgColor rgb="FFD4E8D4"/>
        <bgColor rgb="FFE8E4DE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15" fillId="3" borderId="0" applyAlignment="1" pivotButton="0" quotePrefix="0" xfId="0">
      <alignment horizontal="center" vertical="bottom"/>
    </xf>
    <xf numFmtId="0" fontId="15" fillId="4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3" fontId="10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3" fontId="10" fillId="5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166" fontId="10" fillId="6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15" fillId="3" borderId="0" applyAlignment="1" pivotButton="0" quotePrefix="0" xfId="0">
      <alignment horizontal="center" vertical="bottom"/>
    </xf>
    <xf numFmtId="0" fontId="15" fillId="4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3" fontId="10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3" fontId="10" fillId="5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166" fontId="10" fillId="6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EE"/>
      <rgbColor rgb="FFE8E4D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D"/>
      <rgbColor rgb="FF993300"/>
      <rgbColor rgb="FF993366"/>
      <rgbColor rgb="FF333399"/>
      <rgbColor rgb="FF2D2D3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1"/>
    <col width="65" customWidth="1" style="38" min="2" max="2"/>
  </cols>
  <sheetData>
    <row r="1" ht="15" customHeight="1" s="39">
      <c r="A1" s="40" t="inlineStr">
        <is>
          <t>■ 新規登録数の根拠</t>
        </is>
      </c>
    </row>
    <row r="2"/>
    <row r="3" ht="15" customHeight="1" s="39">
      <c r="A3" s="41" t="inlineStr">
        <is>
          <t>競合ベンチマーク</t>
        </is>
      </c>
      <c r="B3" s="42" t="inlineStr">
        <is>
          <t>Preceden（唯一の年表特化SaaS）: 13年で"数十万"ユーザー。手動入力のみ。AI追加後23%成長。$69/年B2C。</t>
        </is>
      </c>
    </row>
    <row r="4" ht="14.15" customHeight="1" s="39">
      <c r="A4" s="43" t="inlineStr">
        <is>
          <t>Chronos優位性</t>
        </is>
      </c>
      <c r="B4" s="42" t="inlineStr">
        <is>
          <t>①AI自動生成 ②マルチレイヤー（業界唯一）③モダンUI ④共有年表=SEOコンテンツ ⑤埋め込みウィジェット。</t>
        </is>
      </c>
    </row>
    <row r="5" ht="15" customHeight="1" s="39">
      <c r="A5" s="41" t="inlineStr">
        <is>
          <t>悲観</t>
        </is>
      </c>
      <c r="B5" s="42" t="inlineStr">
        <is>
          <t>PMF弱、月50-270名。転換率2-3%、解約率7%。</t>
        </is>
      </c>
    </row>
    <row r="6" ht="15" customHeight="1" s="39">
      <c r="A6" s="41" t="inlineStr">
        <is>
          <t>標準</t>
        </is>
      </c>
      <c r="B6" s="42" t="inlineStr">
        <is>
          <t>Product Hunt+SNS共有で月67-2,500名。転換率3-5%、解約率5%。</t>
        </is>
      </c>
    </row>
    <row r="7" ht="15" customHeight="1" s="39">
      <c r="A7" s="41" t="inlineStr">
        <is>
          <t>楽観</t>
        </is>
      </c>
      <c r="B7" s="42" t="inlineStr">
        <is>
          <t>SNSバズ+メディア掲載で月130-6,700名。転換率4-6%、解約率4%。</t>
        </is>
      </c>
    </row>
    <row r="8" ht="15" customHeight="1" s="39">
      <c r="A8" s="41" t="n"/>
      <c r="B8" s="42" t="n"/>
    </row>
    <row r="9" ht="15" customHeight="1" s="39">
      <c r="A9" s="44" t="inlineStr">
        <is>
          <t>■ プラン体系</t>
        </is>
      </c>
      <c r="B9" s="41" t="n"/>
    </row>
    <row r="10" ht="14.15" customHeight="1" s="39">
      <c r="A10" s="43" t="inlineStr">
        <is>
          <t>Free埋め込み</t>
        </is>
      </c>
      <c r="B10" s="45" t="inlineStr">
        <is>
          <t>「Powered by Chronos」バッジ付きで無料。拡散・デファクト化を最優先。</t>
        </is>
      </c>
    </row>
    <row r="11" ht="14.15" customHeight="1" s="39">
      <c r="A11" s="43" t="inlineStr">
        <is>
          <t>Pro（個人）</t>
        </is>
      </c>
      <c r="B11" s="42" t="inlineStr">
        <is>
          <t>¥800/月 / $8/月 / €8/月。バッジ非表示、AI Edit、無制限年表。</t>
        </is>
      </c>
    </row>
    <row r="12" ht="14.15" customHeight="1" s="39">
      <c r="A12" s="43" t="inlineStr">
        <is>
          <t>Business（法人）</t>
        </is>
      </c>
      <c r="B12" s="42" t="inlineStr">
        <is>
          <t>¥60,000/年（月¥5,000相当）。Y3から提供。カスタムブランド、チーム管理、優先サポート。</t>
        </is>
      </c>
    </row>
    <row r="13" ht="15" customHeight="1" s="39">
      <c r="A13" s="41" t="n"/>
      <c r="B13" s="45" t="inlineStr">
        <is>
          <t>メディア・企業の沿革ページ向け。年額一括で社内稟議を通りやすく。</t>
        </is>
      </c>
    </row>
    <row r="14" ht="15" customHeight="1" s="39">
      <c r="A14" s="41" t="n"/>
      <c r="B14" s="42" t="inlineStr">
        <is>
          <t>B2B年間解約率は低い（2%/四半期想定）。LTVはProの10倍以上。</t>
        </is>
      </c>
    </row>
    <row r="15" ht="15" customHeight="1" s="39">
      <c r="A15" s="41" t="n"/>
      <c r="B15" s="42" t="n"/>
    </row>
    <row r="16" ht="14.15" customHeight="1" s="39">
      <c r="A16" s="46" t="inlineStr">
        <is>
          <t>■ MAU算出</t>
        </is>
      </c>
      <c r="B16" s="41" t="inlineStr">
        <is>
          <t>累計登録×30%。年表ツールは月1-2回利用が中心（Preceden創業者も指摘）。</t>
        </is>
      </c>
    </row>
    <row r="17" ht="15" customHeight="1" s="39">
      <c r="A17" s="41" t="n"/>
      <c r="B17" s="42" t="n"/>
    </row>
    <row r="18" ht="15" customHeight="1" s="39">
      <c r="A18" s="44" t="inlineStr">
        <is>
          <t>■ コスト根拠</t>
        </is>
      </c>
      <c r="B18" s="41" t="n"/>
    </row>
    <row r="19" ht="15" customHeight="1" s="39">
      <c r="A19" s="41" t="inlineStr">
        <is>
          <t>エンジニア</t>
        </is>
      </c>
      <c r="B19" s="45" t="inlineStr">
        <is>
          <t>月20万×12=年240万。月40h業務委託。3年固定。コスト全体の80-90%。</t>
        </is>
      </c>
    </row>
    <row r="20" ht="15" customHeight="1" s="39">
      <c r="A20" s="41" t="inlineStr">
        <is>
          <t>インフラ</t>
        </is>
      </c>
      <c r="B20" s="42" t="inlineStr">
        <is>
          <t>Y1:月¥1,700 → Y3:月¥2.5-3.3万。ユーザー数比例。</t>
        </is>
      </c>
    </row>
    <row r="21" ht="15" customHeight="1" s="39">
      <c r="A21" s="43" t="inlineStr">
        <is>
          <t>Claude API</t>
        </is>
      </c>
      <c r="B21" s="45" t="inlineStr">
        <is>
          <t>年表1本¥20-30。キャッシュ活用で最適化可。</t>
        </is>
      </c>
    </row>
    <row r="22" ht="15" customHeight="1" s="39">
      <c r="A22" s="41" t="inlineStr">
        <is>
          <t>ローカライズ</t>
        </is>
      </c>
      <c r="B22" s="42" t="inlineStr">
        <is>
          <t>Y3Q1: DE/ES/KR/TW一斉¥15万。Claude API多言語対応済み。</t>
        </is>
      </c>
    </row>
    <row r="23"/>
    <row r="24">
      <c r="A24" s="76" t="inlineStr">
        <is>
          <t>■ 上振れ要因（シミュレーション未反映）</t>
        </is>
      </c>
    </row>
    <row r="25">
      <c r="A25" s="77" t="inlineStr">
        <is>
          <t>幽霊課金</t>
        </is>
      </c>
      <c r="B25" s="78" t="inlineStr">
        <is>
          <t>Proユーザーの10-20%が解約を忘れて継続課金する傾向。実効解約率が5%→3-4%に低下し、Y3末Pro数が20-30%増加する可能性。</t>
        </is>
      </c>
    </row>
    <row r="26">
      <c r="A26" s="77" t="inlineStr">
        <is>
          <t>年額プラン導入</t>
        </is>
      </c>
      <c r="B26" s="78" t="inlineStr">
        <is>
          <t>年額割引（2ヶ月無料等）を導入すれば解約率がさらに低下。B2Cでも年額比率30-40%が一般的。</t>
        </is>
      </c>
    </row>
    <row r="27">
      <c r="A27" s="77" t="inlineStr">
        <is>
          <t>教育機関一括導入</t>
        </is>
      </c>
      <c r="B27" s="78" t="inlineStr">
        <is>
          <t>大学・高校の歴史教育での採用。1校あたり数十アカウント。シミュレーションでは未計上。</t>
        </is>
      </c>
    </row>
    <row r="28">
      <c r="A28" s="77" t="inlineStr">
        <is>
          <t>APIライセンス</t>
        </is>
      </c>
      <c r="B28" s="78" t="inlineStr">
        <is>
          <t>メディアがCMS連携でChronos APIを利用する場合、Business以上の価格帯が可能。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8" min="1" max="1"/>
    <col width="10" customWidth="1" style="38" min="2" max="2"/>
    <col width="12" customWidth="1" style="38" min="3" max="19"/>
  </cols>
  <sheetData>
    <row r="1" ht="21.6" customHeight="1" s="39">
      <c r="A1" s="47" t="inlineStr">
        <is>
          <t>Chronos — 悲観シナリオ</t>
        </is>
      </c>
    </row>
    <row r="2" ht="15" customHeight="1" s="39">
      <c r="A2" s="42" t="inlineStr">
        <is>
          <t>PMF未達・SNS拡散なし</t>
        </is>
      </c>
    </row>
    <row r="4" ht="15" customHeight="1" s="39">
      <c r="A4" s="48" t="inlineStr">
        <is>
          <t>■ 前提条件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</row>
    <row r="5" ht="15" customHeight="1" s="39">
      <c r="A5" s="43" t="inlineStr">
        <is>
          <t>Pro月額 国内</t>
        </is>
      </c>
      <c r="B5" s="50" t="n">
        <v>800</v>
      </c>
    </row>
    <row r="6" ht="15" customHeight="1" s="39">
      <c r="A6" s="43" t="inlineStr">
        <is>
          <t>Pro月額 英語圏</t>
        </is>
      </c>
      <c r="B6" s="50" t="n">
        <v>1200</v>
      </c>
    </row>
    <row r="7" ht="15" customHeight="1" s="39">
      <c r="A7" s="43" t="inlineStr">
        <is>
          <t>Pro月額 欧州DE/ES</t>
        </is>
      </c>
      <c r="B7" s="50" t="n">
        <v>1200</v>
      </c>
    </row>
    <row r="8" ht="15" customHeight="1" s="39">
      <c r="A8" s="43" t="inlineStr">
        <is>
          <t>Pro月額 韓国</t>
        </is>
      </c>
      <c r="B8" s="50" t="n">
        <v>900</v>
      </c>
    </row>
    <row r="9" ht="15" customHeight="1" s="39">
      <c r="A9" s="43" t="inlineStr">
        <is>
          <t>Pro月額 台湾</t>
        </is>
      </c>
      <c r="B9" s="50" t="n">
        <v>750</v>
      </c>
    </row>
    <row r="10" ht="15" customHeight="1" s="39">
      <c r="A10" s="43" t="inlineStr">
        <is>
          <t>Business年額</t>
        </is>
      </c>
      <c r="B10" s="50" t="n">
        <v>60000</v>
      </c>
    </row>
    <row r="11" ht="15" customHeight="1" s="39">
      <c r="A11" s="41" t="inlineStr">
        <is>
          <t>転換率 国内</t>
        </is>
      </c>
      <c r="B11" s="51" t="n">
        <v>0.02</v>
      </c>
    </row>
    <row r="12" ht="15" customHeight="1" s="39">
      <c r="A12" s="41" t="inlineStr">
        <is>
          <t>転換率 英語圏</t>
        </is>
      </c>
      <c r="B12" s="51" t="n">
        <v>0.03</v>
      </c>
    </row>
    <row r="13" ht="15" customHeight="1" s="39">
      <c r="A13" s="41" t="inlineStr">
        <is>
          <t>転換率 欧州DE/ES</t>
        </is>
      </c>
      <c r="B13" s="51" t="n">
        <v>0.025</v>
      </c>
    </row>
    <row r="14" ht="15" customHeight="1" s="39">
      <c r="A14" s="41" t="inlineStr">
        <is>
          <t>転換率 韓国</t>
        </is>
      </c>
      <c r="B14" s="51" t="n">
        <v>0.025</v>
      </c>
    </row>
    <row r="15" ht="15" customHeight="1" s="39">
      <c r="A15" s="41" t="inlineStr">
        <is>
          <t>転換率 台湾</t>
        </is>
      </c>
      <c r="B15" s="51" t="n">
        <v>0.02</v>
      </c>
    </row>
    <row r="16" ht="15" customHeight="1" s="39">
      <c r="A16" s="41" t="inlineStr">
        <is>
          <t>月次解約率（Pro）</t>
        </is>
      </c>
      <c r="B16" s="51" t="n">
        <v>0.07000000000000001</v>
      </c>
    </row>
    <row r="17" ht="15" customHeight="1" s="39">
      <c r="A17" s="41" t="inlineStr">
        <is>
          <t>四半期解約率（Business）</t>
        </is>
      </c>
      <c r="B17" s="51" t="n">
        <v>0.02</v>
      </c>
    </row>
    <row r="18" ht="15" customHeight="1" s="39">
      <c r="A18" s="41" t="inlineStr">
        <is>
          <t>エンジニア月額</t>
        </is>
      </c>
      <c r="B18" s="50" t="n">
        <v>200000</v>
      </c>
    </row>
    <row r="21" ht="15" customHeight="1" s="39">
      <c r="A21" s="48" t="inlineStr">
        <is>
          <t>■ 四半期別収支</t>
        </is>
      </c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</row>
    <row r="22" ht="15" customHeight="1" s="39">
      <c r="C22" s="52" t="inlineStr">
        <is>
          <t>Year 1</t>
        </is>
      </c>
      <c r="G22" s="52" t="inlineStr">
        <is>
          <t>Year 2</t>
        </is>
      </c>
      <c r="K22" s="52" t="inlineStr">
        <is>
          <t>Year 3</t>
        </is>
      </c>
    </row>
    <row r="23" ht="15" customHeight="1" s="39">
      <c r="A23" s="53" t="n"/>
      <c r="B23" s="54" t="inlineStr">
        <is>
          <t>単位</t>
        </is>
      </c>
      <c r="C23" s="55" t="inlineStr">
        <is>
          <t>Y1Q1</t>
        </is>
      </c>
      <c r="D23" s="55" t="inlineStr">
        <is>
          <t>Y1Q2</t>
        </is>
      </c>
      <c r="E23" s="55" t="inlineStr">
        <is>
          <t>Y1Q3</t>
        </is>
      </c>
      <c r="F23" s="55" t="inlineStr">
        <is>
          <t>Y1Q4</t>
        </is>
      </c>
      <c r="G23" s="55" t="inlineStr">
        <is>
          <t>Y2Q1</t>
        </is>
      </c>
      <c r="H23" s="55" t="inlineStr">
        <is>
          <t>Y2Q2</t>
        </is>
      </c>
      <c r="I23" s="55" t="inlineStr">
        <is>
          <t>Y2Q3</t>
        </is>
      </c>
      <c r="J23" s="55" t="inlineStr">
        <is>
          <t>Y2Q4</t>
        </is>
      </c>
      <c r="K23" s="55" t="inlineStr">
        <is>
          <t>Y3Q1</t>
        </is>
      </c>
      <c r="L23" s="55" t="inlineStr">
        <is>
          <t>Y3Q2</t>
        </is>
      </c>
      <c r="M23" s="55" t="inlineStr">
        <is>
          <t>Y3Q3</t>
        </is>
      </c>
      <c r="N23" s="55" t="inlineStr">
        <is>
          <t>Y3Q4</t>
        </is>
      </c>
      <c r="O23" s="56" t="inlineStr">
        <is>
          <t>Y1計</t>
        </is>
      </c>
      <c r="P23" s="56" t="inlineStr">
        <is>
          <t>Y2計</t>
        </is>
      </c>
      <c r="Q23" s="56" t="inlineStr">
        <is>
          <t>Y3計</t>
        </is>
      </c>
    </row>
    <row r="24" ht="15" customHeight="1" s="39">
      <c r="A24" s="41" t="inlineStr">
        <is>
          <t>【国内】新規登録</t>
        </is>
      </c>
      <c r="B24" s="45" t="inlineStr">
        <is>
          <t>人</t>
        </is>
      </c>
      <c r="C24" s="57" t="n">
        <v>80</v>
      </c>
      <c r="D24" s="57" t="n">
        <v>150</v>
      </c>
      <c r="E24" s="57" t="n">
        <v>250</v>
      </c>
      <c r="F24" s="57" t="n">
        <v>350</v>
      </c>
      <c r="G24" s="57" t="n">
        <v>400</v>
      </c>
      <c r="H24" s="57" t="n">
        <v>500</v>
      </c>
      <c r="I24" s="57" t="n">
        <v>550</v>
      </c>
      <c r="J24" s="57" t="n">
        <v>600</v>
      </c>
      <c r="K24" s="57" t="n">
        <v>650</v>
      </c>
      <c r="L24" s="57" t="n">
        <v>700</v>
      </c>
      <c r="M24" s="57" t="n">
        <v>750</v>
      </c>
      <c r="N24" s="57" t="n">
        <v>800</v>
      </c>
      <c r="O24" s="58">
        <f>SUM(C24:F24)</f>
        <v/>
      </c>
      <c r="P24" s="58">
        <f>SUM(G24:J24)</f>
        <v/>
      </c>
      <c r="Q24" s="58">
        <f>SUM(K24:N24)</f>
        <v/>
      </c>
    </row>
    <row r="25" ht="15" customHeight="1" s="39">
      <c r="A25" s="45" t="inlineStr">
        <is>
          <t xml:space="preserve">  国内Pro</t>
        </is>
      </c>
      <c r="B25" s="45" t="inlineStr">
        <is>
          <t>人</t>
        </is>
      </c>
      <c r="C25" s="59">
        <f>ROUND(C24*B11,0)</f>
        <v/>
      </c>
      <c r="D25" s="59">
        <f>ROUND(C25*(1-B16)^3+D24*B11,0)</f>
        <v/>
      </c>
      <c r="E25" s="59">
        <f>ROUND(D25*(1-B16)^3+E24*B11,0)</f>
        <v/>
      </c>
      <c r="F25" s="59">
        <f>ROUND(E25*(1-B16)^3+F24*B11,0)</f>
        <v/>
      </c>
      <c r="G25" s="59">
        <f>ROUND(F25*(1-B16)^3+G24*B11,0)</f>
        <v/>
      </c>
      <c r="H25" s="59">
        <f>ROUND(G25*(1-B16)^3+H24*B11,0)</f>
        <v/>
      </c>
      <c r="I25" s="59">
        <f>ROUND(H25*(1-B16)^3+I24*B11,0)</f>
        <v/>
      </c>
      <c r="J25" s="59">
        <f>ROUND(I25*(1-B16)^3+J24*B11,0)</f>
        <v/>
      </c>
      <c r="K25" s="59">
        <f>ROUND(J25*(1-B16)^3+K24*B11,0)</f>
        <v/>
      </c>
      <c r="L25" s="59">
        <f>ROUND(K25*(1-B16)^3+L24*B11,0)</f>
        <v/>
      </c>
      <c r="M25" s="59">
        <f>ROUND(L25*(1-B16)^3+M24*B11,0)</f>
        <v/>
      </c>
      <c r="N25" s="59">
        <f>ROUND(M25*(1-B16)^3+N24*B11,0)</f>
        <v/>
      </c>
      <c r="O25" s="58">
        <f>F25</f>
        <v/>
      </c>
      <c r="P25" s="58">
        <f>J25</f>
        <v/>
      </c>
      <c r="Q25" s="58">
        <f>N25</f>
        <v/>
      </c>
    </row>
    <row r="26" ht="15" customHeight="1" s="39">
      <c r="A26" s="45" t="inlineStr">
        <is>
          <t xml:space="preserve">  国内Pro売上</t>
        </is>
      </c>
      <c r="B26" s="45" t="inlineStr">
        <is>
          <t>円</t>
        </is>
      </c>
      <c r="C26" s="59">
        <f>C25*B5*3</f>
        <v/>
      </c>
      <c r="D26" s="59">
        <f>D25*B5*3</f>
        <v/>
      </c>
      <c r="E26" s="59">
        <f>E25*B5*3</f>
        <v/>
      </c>
      <c r="F26" s="59">
        <f>F25*B5*3</f>
        <v/>
      </c>
      <c r="G26" s="59">
        <f>G25*B5*3</f>
        <v/>
      </c>
      <c r="H26" s="59">
        <f>H25*B5*3</f>
        <v/>
      </c>
      <c r="I26" s="59">
        <f>I25*B5*3</f>
        <v/>
      </c>
      <c r="J26" s="59">
        <f>J25*B5*3</f>
        <v/>
      </c>
      <c r="K26" s="59">
        <f>K25*B5*3</f>
        <v/>
      </c>
      <c r="L26" s="59">
        <f>L25*B5*3</f>
        <v/>
      </c>
      <c r="M26" s="59">
        <f>M25*B5*3</f>
        <v/>
      </c>
      <c r="N26" s="59">
        <f>N25*B5*3</f>
        <v/>
      </c>
      <c r="O26" s="58">
        <f>SUM(C26:F26)</f>
        <v/>
      </c>
      <c r="P26" s="58">
        <f>SUM(G26:J26)</f>
        <v/>
      </c>
      <c r="Q26" s="58">
        <f>SUM(K26:N26)</f>
        <v/>
      </c>
    </row>
    <row r="27" ht="15" customHeight="1" s="39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</row>
    <row r="28" ht="15" customHeight="1" s="39">
      <c r="A28" s="41" t="inlineStr">
        <is>
          <t>【英語圏】新規登録</t>
        </is>
      </c>
      <c r="B28" s="45" t="inlineStr">
        <is>
          <t>人</t>
        </is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100</v>
      </c>
      <c r="H28" s="57" t="n">
        <v>200</v>
      </c>
      <c r="I28" s="57" t="n">
        <v>350</v>
      </c>
      <c r="J28" s="57" t="n">
        <v>500</v>
      </c>
      <c r="K28" s="57" t="n">
        <v>700</v>
      </c>
      <c r="L28" s="57" t="n">
        <v>1000</v>
      </c>
      <c r="M28" s="57" t="n">
        <v>1400</v>
      </c>
      <c r="N28" s="57" t="n">
        <v>1800</v>
      </c>
      <c r="O28" s="58">
        <f>SUM(C28:F28)</f>
        <v/>
      </c>
      <c r="P28" s="58">
        <f>SUM(G28:J28)</f>
        <v/>
      </c>
      <c r="Q28" s="58">
        <f>SUM(K28:N28)</f>
        <v/>
      </c>
    </row>
    <row r="29" ht="15" customHeight="1" s="39">
      <c r="A29" s="45" t="inlineStr">
        <is>
          <t xml:space="preserve">  英語圏Pro</t>
        </is>
      </c>
      <c r="B29" s="45" t="inlineStr">
        <is>
          <t>人</t>
        </is>
      </c>
      <c r="C29" s="59">
        <f>ROUND(C28*B12,0)</f>
        <v/>
      </c>
      <c r="D29" s="59">
        <f>ROUND(C29*(1-B16)^3+D28*B12,0)</f>
        <v/>
      </c>
      <c r="E29" s="59">
        <f>ROUND(D29*(1-B16)^3+E28*B12,0)</f>
        <v/>
      </c>
      <c r="F29" s="59">
        <f>ROUND(E29*(1-B16)^3+F28*B12,0)</f>
        <v/>
      </c>
      <c r="G29" s="59">
        <f>ROUND(F29*(1-B16)^3+G28*B12,0)</f>
        <v/>
      </c>
      <c r="H29" s="59">
        <f>ROUND(G29*(1-B16)^3+H28*B12,0)</f>
        <v/>
      </c>
      <c r="I29" s="59">
        <f>ROUND(H29*(1-B16)^3+I28*B12,0)</f>
        <v/>
      </c>
      <c r="J29" s="59">
        <f>ROUND(I29*(1-B16)^3+J28*B12,0)</f>
        <v/>
      </c>
      <c r="K29" s="59">
        <f>ROUND(J29*(1-B16)^3+K28*B12,0)</f>
        <v/>
      </c>
      <c r="L29" s="59">
        <f>ROUND(K29*(1-B16)^3+L28*B12,0)</f>
        <v/>
      </c>
      <c r="M29" s="59">
        <f>ROUND(L29*(1-B16)^3+M28*B12,0)</f>
        <v/>
      </c>
      <c r="N29" s="59">
        <f>ROUND(M29*(1-B16)^3+N28*B12,0)</f>
        <v/>
      </c>
      <c r="O29" s="58">
        <f>F29</f>
        <v/>
      </c>
      <c r="P29" s="58">
        <f>J29</f>
        <v/>
      </c>
      <c r="Q29" s="58">
        <f>N29</f>
        <v/>
      </c>
    </row>
    <row r="30" ht="15" customHeight="1" s="39">
      <c r="A30" s="45" t="inlineStr">
        <is>
          <t xml:space="preserve">  英語圏Pro売上</t>
        </is>
      </c>
      <c r="B30" s="45" t="inlineStr">
        <is>
          <t>円</t>
        </is>
      </c>
      <c r="C30" s="59">
        <f>C29*B6*3</f>
        <v/>
      </c>
      <c r="D30" s="59">
        <f>D29*B6*3</f>
        <v/>
      </c>
      <c r="E30" s="59">
        <f>E29*B6*3</f>
        <v/>
      </c>
      <c r="F30" s="59">
        <f>F29*B6*3</f>
        <v/>
      </c>
      <c r="G30" s="59">
        <f>G29*B6*3</f>
        <v/>
      </c>
      <c r="H30" s="59">
        <f>H29*B6*3</f>
        <v/>
      </c>
      <c r="I30" s="59">
        <f>I29*B6*3</f>
        <v/>
      </c>
      <c r="J30" s="59">
        <f>J29*B6*3</f>
        <v/>
      </c>
      <c r="K30" s="59">
        <f>K29*B6*3</f>
        <v/>
      </c>
      <c r="L30" s="59">
        <f>L29*B6*3</f>
        <v/>
      </c>
      <c r="M30" s="59">
        <f>M29*B6*3</f>
        <v/>
      </c>
      <c r="N30" s="59">
        <f>N29*B6*3</f>
        <v/>
      </c>
      <c r="O30" s="58">
        <f>SUM(C30:F30)</f>
        <v/>
      </c>
      <c r="P30" s="58">
        <f>SUM(G30:J30)</f>
        <v/>
      </c>
      <c r="Q30" s="58">
        <f>SUM(K30:N30)</f>
        <v/>
      </c>
    </row>
    <row r="31" ht="15" customHeight="1" s="39">
      <c r="A31" s="60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</row>
    <row r="32" ht="15" customHeight="1" s="39">
      <c r="A32" s="41" t="inlineStr">
        <is>
          <t>【欧州DE/ES】新規登録</t>
        </is>
      </c>
      <c r="B32" s="45" t="inlineStr">
        <is>
          <t>人</t>
        </is>
      </c>
      <c r="C32" s="57" t="n">
        <v>0</v>
      </c>
      <c r="D32" s="57" t="n">
        <v>0</v>
      </c>
      <c r="E32" s="57" t="n">
        <v>0</v>
      </c>
      <c r="F32" s="57" t="n">
        <v>0</v>
      </c>
      <c r="G32" s="57" t="n">
        <v>0</v>
      </c>
      <c r="H32" s="57" t="n">
        <v>0</v>
      </c>
      <c r="I32" s="57" t="n">
        <v>0</v>
      </c>
      <c r="J32" s="57" t="n">
        <v>0</v>
      </c>
      <c r="K32" s="57" t="n">
        <v>150</v>
      </c>
      <c r="L32" s="57" t="n">
        <v>250</v>
      </c>
      <c r="M32" s="57" t="n">
        <v>400</v>
      </c>
      <c r="N32" s="57" t="n">
        <v>600</v>
      </c>
      <c r="O32" s="58">
        <f>SUM(C32:F32)</f>
        <v/>
      </c>
      <c r="P32" s="58">
        <f>SUM(G32:J32)</f>
        <v/>
      </c>
      <c r="Q32" s="58">
        <f>SUM(K32:N32)</f>
        <v/>
      </c>
    </row>
    <row r="33" ht="15" customHeight="1" s="39">
      <c r="A33" s="45" t="inlineStr">
        <is>
          <t xml:space="preserve">  欧州DE/ESPro</t>
        </is>
      </c>
      <c r="B33" s="45" t="inlineStr">
        <is>
          <t>人</t>
        </is>
      </c>
      <c r="C33" s="59">
        <f>ROUND(C32*B13,0)</f>
        <v/>
      </c>
      <c r="D33" s="59">
        <f>ROUND(C33*(1-B16)^3+D32*B13,0)</f>
        <v/>
      </c>
      <c r="E33" s="59">
        <f>ROUND(D33*(1-B16)^3+E32*B13,0)</f>
        <v/>
      </c>
      <c r="F33" s="59">
        <f>ROUND(E33*(1-B16)^3+F32*B13,0)</f>
        <v/>
      </c>
      <c r="G33" s="59">
        <f>ROUND(F33*(1-B16)^3+G32*B13,0)</f>
        <v/>
      </c>
      <c r="H33" s="59">
        <f>ROUND(G33*(1-B16)^3+H32*B13,0)</f>
        <v/>
      </c>
      <c r="I33" s="59">
        <f>ROUND(H33*(1-B16)^3+I32*B13,0)</f>
        <v/>
      </c>
      <c r="J33" s="59">
        <f>ROUND(I33*(1-B16)^3+J32*B13,0)</f>
        <v/>
      </c>
      <c r="K33" s="59">
        <f>ROUND(J33*(1-B16)^3+K32*B13,0)</f>
        <v/>
      </c>
      <c r="L33" s="59">
        <f>ROUND(K33*(1-B16)^3+L32*B13,0)</f>
        <v/>
      </c>
      <c r="M33" s="59">
        <f>ROUND(L33*(1-B16)^3+M32*B13,0)</f>
        <v/>
      </c>
      <c r="N33" s="59">
        <f>ROUND(M33*(1-B16)^3+N32*B13,0)</f>
        <v/>
      </c>
      <c r="O33" s="58">
        <f>F33</f>
        <v/>
      </c>
      <c r="P33" s="58">
        <f>J33</f>
        <v/>
      </c>
      <c r="Q33" s="58">
        <f>N33</f>
        <v/>
      </c>
    </row>
    <row r="34" ht="15" customHeight="1" s="39">
      <c r="A34" s="45" t="inlineStr">
        <is>
          <t xml:space="preserve">  欧州DE/ESPro売上</t>
        </is>
      </c>
      <c r="B34" s="45" t="inlineStr">
        <is>
          <t>円</t>
        </is>
      </c>
      <c r="C34" s="59">
        <f>C33*B7*3</f>
        <v/>
      </c>
      <c r="D34" s="59">
        <f>D33*B7*3</f>
        <v/>
      </c>
      <c r="E34" s="59">
        <f>E33*B7*3</f>
        <v/>
      </c>
      <c r="F34" s="59">
        <f>F33*B7*3</f>
        <v/>
      </c>
      <c r="G34" s="59">
        <f>G33*B7*3</f>
        <v/>
      </c>
      <c r="H34" s="59">
        <f>H33*B7*3</f>
        <v/>
      </c>
      <c r="I34" s="59">
        <f>I33*B7*3</f>
        <v/>
      </c>
      <c r="J34" s="59">
        <f>J33*B7*3</f>
        <v/>
      </c>
      <c r="K34" s="59">
        <f>K33*B7*3</f>
        <v/>
      </c>
      <c r="L34" s="59">
        <f>L33*B7*3</f>
        <v/>
      </c>
      <c r="M34" s="59">
        <f>M33*B7*3</f>
        <v/>
      </c>
      <c r="N34" s="59">
        <f>N33*B7*3</f>
        <v/>
      </c>
      <c r="O34" s="58">
        <f>SUM(C34:F34)</f>
        <v/>
      </c>
      <c r="P34" s="58">
        <f>SUM(G34:J34)</f>
        <v/>
      </c>
      <c r="Q34" s="58">
        <f>SUM(K34:N34)</f>
        <v/>
      </c>
    </row>
    <row r="35" ht="15" customHeight="1" s="39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</row>
    <row r="36" ht="15" customHeight="1" s="39">
      <c r="A36" s="41" t="inlineStr">
        <is>
          <t>【韓国】新規登録</t>
        </is>
      </c>
      <c r="B36" s="45" t="inlineStr">
        <is>
          <t>人</t>
        </is>
      </c>
      <c r="C36" s="57" t="n">
        <v>0</v>
      </c>
      <c r="D36" s="57" t="n">
        <v>0</v>
      </c>
      <c r="E36" s="57" t="n">
        <v>0</v>
      </c>
      <c r="F36" s="57" t="n">
        <v>0</v>
      </c>
      <c r="G36" s="57" t="n">
        <v>0</v>
      </c>
      <c r="H36" s="57" t="n">
        <v>0</v>
      </c>
      <c r="I36" s="57" t="n">
        <v>0</v>
      </c>
      <c r="J36" s="57" t="n">
        <v>0</v>
      </c>
      <c r="K36" s="57" t="n">
        <v>100</v>
      </c>
      <c r="L36" s="57" t="n">
        <v>200</v>
      </c>
      <c r="M36" s="57" t="n">
        <v>300</v>
      </c>
      <c r="N36" s="57" t="n">
        <v>400</v>
      </c>
      <c r="O36" s="58">
        <f>SUM(C36:F36)</f>
        <v/>
      </c>
      <c r="P36" s="58">
        <f>SUM(G36:J36)</f>
        <v/>
      </c>
      <c r="Q36" s="58">
        <f>SUM(K36:N36)</f>
        <v/>
      </c>
    </row>
    <row r="37" ht="15" customHeight="1" s="39">
      <c r="A37" s="45" t="inlineStr">
        <is>
          <t xml:space="preserve">  韓国Pro</t>
        </is>
      </c>
      <c r="B37" s="45" t="inlineStr">
        <is>
          <t>人</t>
        </is>
      </c>
      <c r="C37" s="59">
        <f>ROUND(C36*B14,0)</f>
        <v/>
      </c>
      <c r="D37" s="59">
        <f>ROUND(C37*(1-B16)^3+D36*B14,0)</f>
        <v/>
      </c>
      <c r="E37" s="59">
        <f>ROUND(D37*(1-B16)^3+E36*B14,0)</f>
        <v/>
      </c>
      <c r="F37" s="59">
        <f>ROUND(E37*(1-B16)^3+F36*B14,0)</f>
        <v/>
      </c>
      <c r="G37" s="59">
        <f>ROUND(F37*(1-B16)^3+G36*B14,0)</f>
        <v/>
      </c>
      <c r="H37" s="59">
        <f>ROUND(G37*(1-B16)^3+H36*B14,0)</f>
        <v/>
      </c>
      <c r="I37" s="59">
        <f>ROUND(H37*(1-B16)^3+I36*B14,0)</f>
        <v/>
      </c>
      <c r="J37" s="59">
        <f>ROUND(I37*(1-B16)^3+J36*B14,0)</f>
        <v/>
      </c>
      <c r="K37" s="59">
        <f>ROUND(J37*(1-B16)^3+K36*B14,0)</f>
        <v/>
      </c>
      <c r="L37" s="59">
        <f>ROUND(K37*(1-B16)^3+L36*B14,0)</f>
        <v/>
      </c>
      <c r="M37" s="59">
        <f>ROUND(L37*(1-B16)^3+M36*B14,0)</f>
        <v/>
      </c>
      <c r="N37" s="59">
        <f>ROUND(M37*(1-B16)^3+N36*B14,0)</f>
        <v/>
      </c>
      <c r="O37" s="58">
        <f>F37</f>
        <v/>
      </c>
      <c r="P37" s="58">
        <f>J37</f>
        <v/>
      </c>
      <c r="Q37" s="58">
        <f>N37</f>
        <v/>
      </c>
    </row>
    <row r="38" ht="15" customHeight="1" s="39">
      <c r="A38" s="45" t="inlineStr">
        <is>
          <t xml:space="preserve">  韓国Pro売上</t>
        </is>
      </c>
      <c r="B38" s="45" t="inlineStr">
        <is>
          <t>円</t>
        </is>
      </c>
      <c r="C38" s="59">
        <f>C37*B8*3</f>
        <v/>
      </c>
      <c r="D38" s="59">
        <f>D37*B8*3</f>
        <v/>
      </c>
      <c r="E38" s="59">
        <f>E37*B8*3</f>
        <v/>
      </c>
      <c r="F38" s="59">
        <f>F37*B8*3</f>
        <v/>
      </c>
      <c r="G38" s="59">
        <f>G37*B8*3</f>
        <v/>
      </c>
      <c r="H38" s="59">
        <f>H37*B8*3</f>
        <v/>
      </c>
      <c r="I38" s="59">
        <f>I37*B8*3</f>
        <v/>
      </c>
      <c r="J38" s="59">
        <f>J37*B8*3</f>
        <v/>
      </c>
      <c r="K38" s="59">
        <f>K37*B8*3</f>
        <v/>
      </c>
      <c r="L38" s="59">
        <f>L37*B8*3</f>
        <v/>
      </c>
      <c r="M38" s="59">
        <f>M37*B8*3</f>
        <v/>
      </c>
      <c r="N38" s="59">
        <f>N37*B8*3</f>
        <v/>
      </c>
      <c r="O38" s="58">
        <f>SUM(C38:F38)</f>
        <v/>
      </c>
      <c r="P38" s="58">
        <f>SUM(G38:J38)</f>
        <v/>
      </c>
      <c r="Q38" s="58">
        <f>SUM(K38:N38)</f>
        <v/>
      </c>
    </row>
    <row r="39" ht="15" customHeight="1" s="39">
      <c r="A39" s="60" t="n"/>
      <c r="B39" s="60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</row>
    <row r="40" ht="15" customHeight="1" s="39">
      <c r="A40" s="41" t="inlineStr">
        <is>
          <t>【台湾】新規登録</t>
        </is>
      </c>
      <c r="B40" s="45" t="inlineStr">
        <is>
          <t>人</t>
        </is>
      </c>
      <c r="C40" s="57" t="n">
        <v>0</v>
      </c>
      <c r="D40" s="57" t="n">
        <v>0</v>
      </c>
      <c r="E40" s="57" t="n">
        <v>0</v>
      </c>
      <c r="F40" s="57" t="n">
        <v>0</v>
      </c>
      <c r="G40" s="57" t="n">
        <v>0</v>
      </c>
      <c r="H40" s="57" t="n">
        <v>0</v>
      </c>
      <c r="I40" s="57" t="n">
        <v>0</v>
      </c>
      <c r="J40" s="57" t="n">
        <v>0</v>
      </c>
      <c r="K40" s="57" t="n">
        <v>50</v>
      </c>
      <c r="L40" s="57" t="n">
        <v>100</v>
      </c>
      <c r="M40" s="57" t="n">
        <v>150</v>
      </c>
      <c r="N40" s="57" t="n">
        <v>200</v>
      </c>
      <c r="O40" s="58">
        <f>SUM(C40:F40)</f>
        <v/>
      </c>
      <c r="P40" s="58">
        <f>SUM(G40:J40)</f>
        <v/>
      </c>
      <c r="Q40" s="58">
        <f>SUM(K40:N40)</f>
        <v/>
      </c>
    </row>
    <row r="41" ht="15" customHeight="1" s="39">
      <c r="A41" s="45" t="inlineStr">
        <is>
          <t xml:space="preserve">  台湾Pro</t>
        </is>
      </c>
      <c r="B41" s="45" t="inlineStr">
        <is>
          <t>人</t>
        </is>
      </c>
      <c r="C41" s="59">
        <f>ROUND(C40*B15,0)</f>
        <v/>
      </c>
      <c r="D41" s="59">
        <f>ROUND(C41*(1-B16)^3+D40*B15,0)</f>
        <v/>
      </c>
      <c r="E41" s="59">
        <f>ROUND(D41*(1-B16)^3+E40*B15,0)</f>
        <v/>
      </c>
      <c r="F41" s="59">
        <f>ROUND(E41*(1-B16)^3+F40*B15,0)</f>
        <v/>
      </c>
      <c r="G41" s="59">
        <f>ROUND(F41*(1-B16)^3+G40*B15,0)</f>
        <v/>
      </c>
      <c r="H41" s="59">
        <f>ROUND(G41*(1-B16)^3+H40*B15,0)</f>
        <v/>
      </c>
      <c r="I41" s="59">
        <f>ROUND(H41*(1-B16)^3+I40*B15,0)</f>
        <v/>
      </c>
      <c r="J41" s="59">
        <f>ROUND(I41*(1-B16)^3+J40*B15,0)</f>
        <v/>
      </c>
      <c r="K41" s="59">
        <f>ROUND(J41*(1-B16)^3+K40*B15,0)</f>
        <v/>
      </c>
      <c r="L41" s="59">
        <f>ROUND(K41*(1-B16)^3+L40*B15,0)</f>
        <v/>
      </c>
      <c r="M41" s="59">
        <f>ROUND(L41*(1-B16)^3+M40*B15,0)</f>
        <v/>
      </c>
      <c r="N41" s="59">
        <f>ROUND(M41*(1-B16)^3+N40*B15,0)</f>
        <v/>
      </c>
      <c r="O41" s="58">
        <f>F41</f>
        <v/>
      </c>
      <c r="P41" s="58">
        <f>J41</f>
        <v/>
      </c>
      <c r="Q41" s="58">
        <f>N41</f>
        <v/>
      </c>
    </row>
    <row r="42" ht="15" customHeight="1" s="39">
      <c r="A42" s="45" t="inlineStr">
        <is>
          <t xml:space="preserve">  台湾Pro売上</t>
        </is>
      </c>
      <c r="B42" s="45" t="inlineStr">
        <is>
          <t>円</t>
        </is>
      </c>
      <c r="C42" s="59">
        <f>C41*B9*3</f>
        <v/>
      </c>
      <c r="D42" s="59">
        <f>D41*B9*3</f>
        <v/>
      </c>
      <c r="E42" s="59">
        <f>E41*B9*3</f>
        <v/>
      </c>
      <c r="F42" s="59">
        <f>F41*B9*3</f>
        <v/>
      </c>
      <c r="G42" s="59">
        <f>G41*B9*3</f>
        <v/>
      </c>
      <c r="H42" s="59">
        <f>H41*B9*3</f>
        <v/>
      </c>
      <c r="I42" s="59">
        <f>I41*B9*3</f>
        <v/>
      </c>
      <c r="J42" s="59">
        <f>J41*B9*3</f>
        <v/>
      </c>
      <c r="K42" s="59">
        <f>K41*B9*3</f>
        <v/>
      </c>
      <c r="L42" s="59">
        <f>L41*B9*3</f>
        <v/>
      </c>
      <c r="M42" s="59">
        <f>M41*B9*3</f>
        <v/>
      </c>
      <c r="N42" s="59">
        <f>N41*B9*3</f>
        <v/>
      </c>
      <c r="O42" s="58">
        <f>SUM(C42:F42)</f>
        <v/>
      </c>
      <c r="P42" s="58">
        <f>SUM(G42:J42)</f>
        <v/>
      </c>
      <c r="Q42" s="58">
        <f>SUM(K42:N42)</f>
        <v/>
      </c>
    </row>
    <row r="43" ht="15" customHeight="1" s="39">
      <c r="A43" s="60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</row>
    <row r="44" ht="15" customHeight="1" s="39">
      <c r="A44" s="41" t="inlineStr">
        <is>
          <t>【Business】新規契約（四半期）</t>
        </is>
      </c>
      <c r="B44" s="45" t="inlineStr">
        <is>
          <t>社</t>
        </is>
      </c>
      <c r="C44" s="57" t="n">
        <v>0</v>
      </c>
      <c r="D44" s="57" t="n">
        <v>0</v>
      </c>
      <c r="E44" s="57" t="n">
        <v>0</v>
      </c>
      <c r="F44" s="57" t="n">
        <v>0</v>
      </c>
      <c r="G44" s="57" t="n">
        <v>0</v>
      </c>
      <c r="H44" s="57" t="n">
        <v>0</v>
      </c>
      <c r="I44" s="57" t="n">
        <v>0</v>
      </c>
      <c r="J44" s="57" t="n">
        <v>0</v>
      </c>
      <c r="K44" s="57" t="n">
        <v>1</v>
      </c>
      <c r="L44" s="57" t="n">
        <v>2</v>
      </c>
      <c r="M44" s="57" t="n">
        <v>3</v>
      </c>
      <c r="N44" s="57" t="n">
        <v>4</v>
      </c>
      <c r="O44" s="58">
        <f>SUM(C44:F44)</f>
        <v/>
      </c>
      <c r="P44" s="58">
        <f>SUM(G44:J44)</f>
        <v/>
      </c>
      <c r="Q44" s="58">
        <f>SUM(K44:N44)</f>
        <v/>
      </c>
    </row>
    <row r="45" ht="15" customHeight="1" s="39">
      <c r="A45" s="42" t="inlineStr">
        <is>
          <t xml:space="preserve">  Business契約社数</t>
        </is>
      </c>
      <c r="B45" s="45" t="inlineStr">
        <is>
          <t>社</t>
        </is>
      </c>
      <c r="C45" s="59">
        <f>C44</f>
        <v/>
      </c>
      <c r="D45" s="59">
        <f>ROUND(C45*(1-B17)+D44,0)</f>
        <v/>
      </c>
      <c r="E45" s="59">
        <f>ROUND(D45*(1-B17)+E44,0)</f>
        <v/>
      </c>
      <c r="F45" s="59">
        <f>ROUND(E45*(1-B17)+F44,0)</f>
        <v/>
      </c>
      <c r="G45" s="59">
        <f>ROUND(F45*(1-B17)+G44,0)</f>
        <v/>
      </c>
      <c r="H45" s="59">
        <f>ROUND(G45*(1-B17)+H44,0)</f>
        <v/>
      </c>
      <c r="I45" s="59">
        <f>ROUND(H45*(1-B17)+I44,0)</f>
        <v/>
      </c>
      <c r="J45" s="59">
        <f>ROUND(I45*(1-B17)+J44,0)</f>
        <v/>
      </c>
      <c r="K45" s="59">
        <f>ROUND(J45*(1-B17)+K44,0)</f>
        <v/>
      </c>
      <c r="L45" s="59">
        <f>ROUND(K45*(1-B17)+L44,0)</f>
        <v/>
      </c>
      <c r="M45" s="59">
        <f>ROUND(L45*(1-B17)+M44,0)</f>
        <v/>
      </c>
      <c r="N45" s="59">
        <f>ROUND(M45*(1-B17)+N44,0)</f>
        <v/>
      </c>
      <c r="O45" s="58">
        <f>F45</f>
        <v/>
      </c>
      <c r="P45" s="58">
        <f>J45</f>
        <v/>
      </c>
      <c r="Q45" s="58">
        <f>N45</f>
        <v/>
      </c>
    </row>
    <row r="46" ht="15" customHeight="1" s="39">
      <c r="A46" s="42" t="inlineStr">
        <is>
          <t xml:space="preserve">  Business売上</t>
        </is>
      </c>
      <c r="B46" s="45" t="inlineStr">
        <is>
          <t>円</t>
        </is>
      </c>
      <c r="C46" s="59">
        <f>C45*B10/4</f>
        <v/>
      </c>
      <c r="D46" s="59">
        <f>D45*B10/4</f>
        <v/>
      </c>
      <c r="E46" s="59">
        <f>E45*B10/4</f>
        <v/>
      </c>
      <c r="F46" s="59">
        <f>F45*B10/4</f>
        <v/>
      </c>
      <c r="G46" s="59">
        <f>G45*B10/4</f>
        <v/>
      </c>
      <c r="H46" s="59">
        <f>H45*B10/4</f>
        <v/>
      </c>
      <c r="I46" s="59">
        <f>I45*B10/4</f>
        <v/>
      </c>
      <c r="J46" s="59">
        <f>J45*B10/4</f>
        <v/>
      </c>
      <c r="K46" s="59">
        <f>K45*B10/4</f>
        <v/>
      </c>
      <c r="L46" s="59">
        <f>L45*B10/4</f>
        <v/>
      </c>
      <c r="M46" s="59">
        <f>M45*B10/4</f>
        <v/>
      </c>
      <c r="N46" s="59">
        <f>N45*B10/4</f>
        <v/>
      </c>
      <c r="O46" s="58">
        <f>SUM(C46:F46)</f>
        <v/>
      </c>
      <c r="P46" s="58">
        <f>SUM(G46:J46)</f>
        <v/>
      </c>
      <c r="Q46" s="58">
        <f>SUM(K46:N46)</f>
        <v/>
      </c>
    </row>
    <row r="47" ht="15" customHeight="1" s="39">
      <c r="A47" s="60" t="n"/>
      <c r="B47" s="60" t="n"/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</row>
    <row r="48" ht="15" customHeight="1" s="39">
      <c r="A48" s="61" t="inlineStr">
        <is>
          <t>Proユーザー合計</t>
        </is>
      </c>
      <c r="B48" s="62" t="inlineStr">
        <is>
          <t>人</t>
        </is>
      </c>
      <c r="C48" s="63">
        <f>C25+C29+C33+C37+C41</f>
        <v/>
      </c>
      <c r="D48" s="63">
        <f>D25+D29+D33+D37+D41</f>
        <v/>
      </c>
      <c r="E48" s="63">
        <f>E25+E29+E33+E37+E41</f>
        <v/>
      </c>
      <c r="F48" s="63">
        <f>F25+F29+F33+F37+F41</f>
        <v/>
      </c>
      <c r="G48" s="63">
        <f>G25+G29+G33+G37+G41</f>
        <v/>
      </c>
      <c r="H48" s="63">
        <f>H25+H29+H33+H37+H41</f>
        <v/>
      </c>
      <c r="I48" s="63">
        <f>I25+I29+I33+I37+I41</f>
        <v/>
      </c>
      <c r="J48" s="63">
        <f>J25+J29+J33+J37+J41</f>
        <v/>
      </c>
      <c r="K48" s="63">
        <f>K25+K29+K33+K37+K41</f>
        <v/>
      </c>
      <c r="L48" s="63">
        <f>L25+L29+L33+L37+L41</f>
        <v/>
      </c>
      <c r="M48" s="63">
        <f>M25+M29+M33+M37+M41</f>
        <v/>
      </c>
      <c r="N48" s="63">
        <f>N25+N29+N33+N37+N41</f>
        <v/>
      </c>
      <c r="O48" s="58">
        <f>F48</f>
        <v/>
      </c>
      <c r="P48" s="58">
        <f>J48</f>
        <v/>
      </c>
      <c r="Q48" s="58">
        <f>N48</f>
        <v/>
      </c>
    </row>
    <row r="49" ht="15" customHeight="1" s="39">
      <c r="A49" s="64" t="inlineStr">
        <is>
          <t>累計登録ユーザー（全地域）</t>
        </is>
      </c>
      <c r="B49" s="62" t="inlineStr">
        <is>
          <t>人</t>
        </is>
      </c>
      <c r="C49" s="63">
        <f>C24+C28+C32+C36+C40</f>
        <v/>
      </c>
      <c r="D49" s="63">
        <f>C49+D24+D28+D32+D36+D40</f>
        <v/>
      </c>
      <c r="E49" s="63">
        <f>D49+E24+E28+E32+E36+E40</f>
        <v/>
      </c>
      <c r="F49" s="63">
        <f>E49+F24+F28+F32+F36+F40</f>
        <v/>
      </c>
      <c r="G49" s="63">
        <f>F49+G24+G28+G32+G36+G40</f>
        <v/>
      </c>
      <c r="H49" s="63">
        <f>G49+H24+H28+H32+H36+H40</f>
        <v/>
      </c>
      <c r="I49" s="63">
        <f>H49+I24+I28+I32+I36+I40</f>
        <v/>
      </c>
      <c r="J49" s="63">
        <f>I49+J24+J28+J32+J36+J40</f>
        <v/>
      </c>
      <c r="K49" s="63">
        <f>J49+K24+K28+K32+K36+K40</f>
        <v/>
      </c>
      <c r="L49" s="63">
        <f>K49+L24+L28+L32+L36+L40</f>
        <v/>
      </c>
      <c r="M49" s="63">
        <f>L49+M24+M28+M32+M36+M40</f>
        <v/>
      </c>
      <c r="N49" s="63">
        <f>M49+N24+N28+N32+N36+N40</f>
        <v/>
      </c>
      <c r="O49" s="58">
        <f>F49</f>
        <v/>
      </c>
      <c r="P49" s="58">
        <f>J49</f>
        <v/>
      </c>
      <c r="Q49" s="58">
        <f>N49</f>
        <v/>
      </c>
    </row>
    <row r="50" ht="15" customHeight="1" s="39">
      <c r="A50" s="45" t="inlineStr">
        <is>
          <t>推定MAU（累計×30%）</t>
        </is>
      </c>
      <c r="B50" s="45" t="inlineStr">
        <is>
          <t>人</t>
        </is>
      </c>
      <c r="C50" s="65">
        <f>ROUND(C49*0.3,0)</f>
        <v/>
      </c>
      <c r="D50" s="65">
        <f>ROUND(D49*0.3,0)</f>
        <v/>
      </c>
      <c r="E50" s="65">
        <f>ROUND(E49*0.3,0)</f>
        <v/>
      </c>
      <c r="F50" s="65">
        <f>ROUND(F49*0.3,0)</f>
        <v/>
      </c>
      <c r="G50" s="65">
        <f>ROUND(G49*0.3,0)</f>
        <v/>
      </c>
      <c r="H50" s="65">
        <f>ROUND(H49*0.3,0)</f>
        <v/>
      </c>
      <c r="I50" s="65">
        <f>ROUND(I49*0.3,0)</f>
        <v/>
      </c>
      <c r="J50" s="65">
        <f>ROUND(J49*0.3,0)</f>
        <v/>
      </c>
      <c r="K50" s="65">
        <f>ROUND(K49*0.3,0)</f>
        <v/>
      </c>
      <c r="L50" s="65">
        <f>ROUND(L49*0.3,0)</f>
        <v/>
      </c>
      <c r="M50" s="65">
        <f>ROUND(M49*0.3,0)</f>
        <v/>
      </c>
      <c r="N50" s="65">
        <f>ROUND(N49*0.3,0)</f>
        <v/>
      </c>
      <c r="O50" s="58">
        <f>F50</f>
        <v/>
      </c>
      <c r="P50" s="58">
        <f>J50</f>
        <v/>
      </c>
      <c r="Q50" s="58">
        <f>N50</f>
        <v/>
      </c>
    </row>
    <row r="51" ht="15" customHeight="1" s="39">
      <c r="A51" s="60" t="n"/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</row>
    <row r="52" ht="15" customHeight="1" s="39">
      <c r="A52" s="40" t="inlineStr">
        <is>
          <t>【売上】</t>
        </is>
      </c>
    </row>
    <row r="53" ht="15" customHeight="1" s="39">
      <c r="A53" s="43" t="inlineStr">
        <is>
          <t>Pro売上合計</t>
        </is>
      </c>
      <c r="B53" s="45" t="inlineStr">
        <is>
          <t>円</t>
        </is>
      </c>
      <c r="C53" s="59">
        <f>C26+C30+C34+C38+C42</f>
        <v/>
      </c>
      <c r="D53" s="59">
        <f>D26+D30+D34+D38+D42</f>
        <v/>
      </c>
      <c r="E53" s="59">
        <f>E26+E30+E34+E38+E42</f>
        <v/>
      </c>
      <c r="F53" s="59">
        <f>F26+F30+F34+F38+F42</f>
        <v/>
      </c>
      <c r="G53" s="59">
        <f>G26+G30+G34+G38+G42</f>
        <v/>
      </c>
      <c r="H53" s="59">
        <f>H26+H30+H34+H38+H42</f>
        <v/>
      </c>
      <c r="I53" s="59">
        <f>I26+I30+I34+I38+I42</f>
        <v/>
      </c>
      <c r="J53" s="59">
        <f>J26+J30+J34+J38+J42</f>
        <v/>
      </c>
      <c r="K53" s="59">
        <f>K26+K30+K34+K38+K42</f>
        <v/>
      </c>
      <c r="L53" s="59">
        <f>L26+L30+L34+L38+L42</f>
        <v/>
      </c>
      <c r="M53" s="59">
        <f>M26+M30+M34+M38+M42</f>
        <v/>
      </c>
      <c r="N53" s="59">
        <f>N26+N30+N34+N38+N42</f>
        <v/>
      </c>
      <c r="O53" s="58">
        <f>SUM(C53:F53)</f>
        <v/>
      </c>
      <c r="P53" s="58">
        <f>SUM(G53:J53)</f>
        <v/>
      </c>
      <c r="Q53" s="58">
        <f>SUM(K53:N53)</f>
        <v/>
      </c>
    </row>
    <row r="54" ht="15" customHeight="1" s="39">
      <c r="A54" s="43" t="inlineStr">
        <is>
          <t>Business売上合計</t>
        </is>
      </c>
      <c r="B54" s="45" t="inlineStr">
        <is>
          <t>円</t>
        </is>
      </c>
      <c r="C54" s="59">
        <f>C46</f>
        <v/>
      </c>
      <c r="D54" s="59">
        <f>D46</f>
        <v/>
      </c>
      <c r="E54" s="59">
        <f>E46</f>
        <v/>
      </c>
      <c r="F54" s="59">
        <f>F46</f>
        <v/>
      </c>
      <c r="G54" s="59">
        <f>G46</f>
        <v/>
      </c>
      <c r="H54" s="59">
        <f>H46</f>
        <v/>
      </c>
      <c r="I54" s="59">
        <f>I46</f>
        <v/>
      </c>
      <c r="J54" s="59">
        <f>J46</f>
        <v/>
      </c>
      <c r="K54" s="59">
        <f>K46</f>
        <v/>
      </c>
      <c r="L54" s="59">
        <f>L46</f>
        <v/>
      </c>
      <c r="M54" s="59">
        <f>M46</f>
        <v/>
      </c>
      <c r="N54" s="59">
        <f>N46</f>
        <v/>
      </c>
      <c r="O54" s="58">
        <f>SUM(C54:F54)</f>
        <v/>
      </c>
      <c r="P54" s="58">
        <f>SUM(G54:J54)</f>
        <v/>
      </c>
      <c r="Q54" s="58">
        <f>SUM(K54:N54)</f>
        <v/>
      </c>
    </row>
    <row r="55" ht="15" customHeight="1" s="39">
      <c r="A55" s="66" t="inlineStr">
        <is>
          <t>売上合計</t>
        </is>
      </c>
      <c r="B55" s="67" t="inlineStr">
        <is>
          <t>円</t>
        </is>
      </c>
      <c r="C55" s="68">
        <f>C53+C46</f>
        <v/>
      </c>
      <c r="D55" s="68">
        <f>D53+D46</f>
        <v/>
      </c>
      <c r="E55" s="68">
        <f>E53+E46</f>
        <v/>
      </c>
      <c r="F55" s="68">
        <f>F53+F46</f>
        <v/>
      </c>
      <c r="G55" s="68">
        <f>G53+G46</f>
        <v/>
      </c>
      <c r="H55" s="68">
        <f>H53+H46</f>
        <v/>
      </c>
      <c r="I55" s="68">
        <f>I53+I46</f>
        <v/>
      </c>
      <c r="J55" s="68">
        <f>J53+J46</f>
        <v/>
      </c>
      <c r="K55" s="68">
        <f>K53+K46</f>
        <v/>
      </c>
      <c r="L55" s="68">
        <f>L53+L46</f>
        <v/>
      </c>
      <c r="M55" s="68">
        <f>M53+M46</f>
        <v/>
      </c>
      <c r="N55" s="68">
        <f>N53+N46</f>
        <v/>
      </c>
      <c r="O55" s="68">
        <f>SUM(C55:F55)</f>
        <v/>
      </c>
      <c r="P55" s="68">
        <f>SUM(G55:J55)</f>
        <v/>
      </c>
      <c r="Q55" s="68">
        <f>SUM(K55:N55)</f>
        <v/>
      </c>
    </row>
    <row r="56" ht="15" customHeight="1" s="39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</row>
    <row r="57" ht="15" customHeight="1" s="39">
      <c r="A57" s="40" t="inlineStr">
        <is>
          <t>【コスト】</t>
        </is>
      </c>
    </row>
    <row r="58" ht="15" customHeight="1" s="39">
      <c r="A58" s="41" t="inlineStr">
        <is>
          <t>エンジニア（固定）</t>
        </is>
      </c>
      <c r="B58" s="45" t="inlineStr">
        <is>
          <t>円</t>
        </is>
      </c>
      <c r="C58" s="59">
        <f>B18*3</f>
        <v/>
      </c>
      <c r="D58" s="59">
        <f>B18*3</f>
        <v/>
      </c>
      <c r="E58" s="59">
        <f>B18*3</f>
        <v/>
      </c>
      <c r="F58" s="59">
        <f>B18*3</f>
        <v/>
      </c>
      <c r="G58" s="59">
        <f>B18*3</f>
        <v/>
      </c>
      <c r="H58" s="59">
        <f>B18*3</f>
        <v/>
      </c>
      <c r="I58" s="59">
        <f>B18*3</f>
        <v/>
      </c>
      <c r="J58" s="59">
        <f>B18*3</f>
        <v/>
      </c>
      <c r="K58" s="59">
        <f>B18*3</f>
        <v/>
      </c>
      <c r="L58" s="59">
        <f>B18*3</f>
        <v/>
      </c>
      <c r="M58" s="59">
        <f>B18*3</f>
        <v/>
      </c>
      <c r="N58" s="59">
        <f>B18*3</f>
        <v/>
      </c>
      <c r="O58" s="58">
        <f>SUM(C58:F58)</f>
        <v/>
      </c>
      <c r="P58" s="58">
        <f>SUM(G58:J58)</f>
        <v/>
      </c>
      <c r="Q58" s="58">
        <f>SUM(K58:N58)</f>
        <v/>
      </c>
    </row>
    <row r="59" ht="15" customHeight="1" s="39">
      <c r="A59" s="41" t="inlineStr">
        <is>
          <t>インフラ</t>
        </is>
      </c>
      <c r="B59" s="45" t="inlineStr">
        <is>
          <t>円</t>
        </is>
      </c>
      <c r="C59" s="57" t="n">
        <v>3500</v>
      </c>
      <c r="D59" s="57" t="n">
        <v>3500</v>
      </c>
      <c r="E59" s="57" t="n">
        <v>5600</v>
      </c>
      <c r="F59" s="57" t="n">
        <v>7000</v>
      </c>
      <c r="G59" s="57" t="n">
        <v>10500</v>
      </c>
      <c r="H59" s="57" t="n">
        <v>14000</v>
      </c>
      <c r="I59" s="57" t="n">
        <v>19600</v>
      </c>
      <c r="J59" s="57" t="n">
        <v>24500</v>
      </c>
      <c r="K59" s="57" t="n">
        <v>35000</v>
      </c>
      <c r="L59" s="57" t="n">
        <v>45500</v>
      </c>
      <c r="M59" s="57" t="n">
        <v>56000</v>
      </c>
      <c r="N59" s="57" t="n">
        <v>70000</v>
      </c>
      <c r="O59" s="58">
        <f>SUM(C59:F59)</f>
        <v/>
      </c>
      <c r="P59" s="58">
        <f>SUM(G59:J59)</f>
        <v/>
      </c>
      <c r="Q59" s="58">
        <f>SUM(K59:N59)</f>
        <v/>
      </c>
    </row>
    <row r="60" ht="15" customHeight="1" s="39">
      <c r="A60" s="43" t="inlineStr">
        <is>
          <t>Claude API</t>
        </is>
      </c>
      <c r="B60" s="45" t="inlineStr">
        <is>
          <t>円</t>
        </is>
      </c>
      <c r="C60" s="57" t="n">
        <v>2100</v>
      </c>
      <c r="D60" s="57" t="n">
        <v>4200</v>
      </c>
      <c r="E60" s="57" t="n">
        <v>8400</v>
      </c>
      <c r="F60" s="57" t="n">
        <v>12600</v>
      </c>
      <c r="G60" s="57" t="n">
        <v>21000</v>
      </c>
      <c r="H60" s="57" t="n">
        <v>31500</v>
      </c>
      <c r="I60" s="57" t="n">
        <v>45500</v>
      </c>
      <c r="J60" s="57" t="n">
        <v>59500</v>
      </c>
      <c r="K60" s="57" t="n">
        <v>84000</v>
      </c>
      <c r="L60" s="57" t="n">
        <v>119000</v>
      </c>
      <c r="M60" s="57" t="n">
        <v>161000</v>
      </c>
      <c r="N60" s="57" t="n">
        <v>210000</v>
      </c>
      <c r="O60" s="58">
        <f>SUM(C60:F60)</f>
        <v/>
      </c>
      <c r="P60" s="58">
        <f>SUM(G60:J60)</f>
        <v/>
      </c>
      <c r="Q60" s="58">
        <f>SUM(K60:N60)</f>
        <v/>
      </c>
    </row>
    <row r="61" ht="15" customHeight="1" s="39">
      <c r="A61" s="43" t="inlineStr">
        <is>
          <t>SaaSツール</t>
        </is>
      </c>
      <c r="B61" s="45" t="inlineStr">
        <is>
          <t>円</t>
        </is>
      </c>
      <c r="C61" s="57" t="n">
        <v>8000</v>
      </c>
      <c r="D61" s="57" t="n">
        <v>8000</v>
      </c>
      <c r="E61" s="57" t="n">
        <v>10000</v>
      </c>
      <c r="F61" s="57" t="n">
        <v>10000</v>
      </c>
      <c r="G61" s="57" t="n">
        <v>12000</v>
      </c>
      <c r="H61" s="57" t="n">
        <v>12000</v>
      </c>
      <c r="I61" s="57" t="n">
        <v>15000</v>
      </c>
      <c r="J61" s="57" t="n">
        <v>15000</v>
      </c>
      <c r="K61" s="57" t="n">
        <v>18000</v>
      </c>
      <c r="L61" s="57" t="n">
        <v>18000</v>
      </c>
      <c r="M61" s="57" t="n">
        <v>20000</v>
      </c>
      <c r="N61" s="57" t="n">
        <v>20000</v>
      </c>
      <c r="O61" s="58">
        <f>SUM(C61:F61)</f>
        <v/>
      </c>
      <c r="P61" s="58">
        <f>SUM(G61:J61)</f>
        <v/>
      </c>
      <c r="Q61" s="58">
        <f>SUM(K61:N61)</f>
        <v/>
      </c>
    </row>
    <row r="62" ht="15" customHeight="1" s="39">
      <c r="A62" s="41" t="inlineStr">
        <is>
          <t>マーケティング</t>
        </is>
      </c>
      <c r="B62" s="45" t="inlineStr">
        <is>
          <t>円</t>
        </is>
      </c>
      <c r="C62" s="57" t="n">
        <v>0</v>
      </c>
      <c r="D62" s="57" t="n">
        <v>0</v>
      </c>
      <c r="E62" s="57" t="n">
        <v>5000</v>
      </c>
      <c r="F62" s="57" t="n">
        <v>7500</v>
      </c>
      <c r="G62" s="57" t="n">
        <v>10000</v>
      </c>
      <c r="H62" s="57" t="n">
        <v>15000</v>
      </c>
      <c r="I62" s="57" t="n">
        <v>20000</v>
      </c>
      <c r="J62" s="57" t="n">
        <v>25000</v>
      </c>
      <c r="K62" s="57" t="n">
        <v>40000</v>
      </c>
      <c r="L62" s="57" t="n">
        <v>50000</v>
      </c>
      <c r="M62" s="57" t="n">
        <v>65000</v>
      </c>
      <c r="N62" s="57" t="n">
        <v>80000</v>
      </c>
      <c r="O62" s="58">
        <f>SUM(C62:F62)</f>
        <v/>
      </c>
      <c r="P62" s="58">
        <f>SUM(G62:J62)</f>
        <v/>
      </c>
      <c r="Q62" s="58">
        <f>SUM(K62:N62)</f>
        <v/>
      </c>
    </row>
    <row r="63" ht="15" customHeight="1" s="39">
      <c r="A63" s="43" t="inlineStr">
        <is>
          <t>Stripe手数料 4.3%</t>
        </is>
      </c>
      <c r="B63" s="45" t="inlineStr">
        <is>
          <t>円</t>
        </is>
      </c>
      <c r="C63" s="59">
        <f>ROUND(C55*0.043,0)</f>
        <v/>
      </c>
      <c r="D63" s="59">
        <f>ROUND(D55*0.043,0)</f>
        <v/>
      </c>
      <c r="E63" s="59">
        <f>ROUND(E55*0.043,0)</f>
        <v/>
      </c>
      <c r="F63" s="59">
        <f>ROUND(F55*0.043,0)</f>
        <v/>
      </c>
      <c r="G63" s="59">
        <f>ROUND(G55*0.043,0)</f>
        <v/>
      </c>
      <c r="H63" s="59">
        <f>ROUND(H55*0.043,0)</f>
        <v/>
      </c>
      <c r="I63" s="59">
        <f>ROUND(I55*0.043,0)</f>
        <v/>
      </c>
      <c r="J63" s="59">
        <f>ROUND(J55*0.043,0)</f>
        <v/>
      </c>
      <c r="K63" s="59">
        <f>ROUND(K55*0.043,0)</f>
        <v/>
      </c>
      <c r="L63" s="59">
        <f>ROUND(L55*0.043,0)</f>
        <v/>
      </c>
      <c r="M63" s="59">
        <f>ROUND(M55*0.043,0)</f>
        <v/>
      </c>
      <c r="N63" s="59">
        <f>ROUND(N55*0.043,0)</f>
        <v/>
      </c>
      <c r="O63" s="58">
        <f>SUM(C63:F63)</f>
        <v/>
      </c>
      <c r="P63" s="58">
        <f>SUM(G63:J63)</f>
        <v/>
      </c>
      <c r="Q63" s="58">
        <f>SUM(K63:N63)</f>
        <v/>
      </c>
    </row>
    <row r="64" ht="15" customHeight="1" s="39">
      <c r="A64" s="41" t="inlineStr">
        <is>
          <t>ローカライズ</t>
        </is>
      </c>
      <c r="B64" s="45" t="inlineStr">
        <is>
          <t>円</t>
        </is>
      </c>
      <c r="C64" s="57" t="n">
        <v>0</v>
      </c>
      <c r="D64" s="57" t="n">
        <v>0</v>
      </c>
      <c r="E64" s="57" t="n">
        <v>0</v>
      </c>
      <c r="F64" s="57" t="n">
        <v>0</v>
      </c>
      <c r="G64" s="57" t="n">
        <v>50000</v>
      </c>
      <c r="H64" s="57" t="n">
        <v>0</v>
      </c>
      <c r="I64" s="57" t="n">
        <v>30000</v>
      </c>
      <c r="J64" s="57" t="n">
        <v>0</v>
      </c>
      <c r="K64" s="57" t="n">
        <v>150000</v>
      </c>
      <c r="L64" s="57" t="n">
        <v>30000</v>
      </c>
      <c r="M64" s="57" t="n">
        <v>50000</v>
      </c>
      <c r="N64" s="57" t="n">
        <v>30000</v>
      </c>
      <c r="O64" s="58">
        <f>SUM(C64:F64)</f>
        <v/>
      </c>
      <c r="P64" s="58">
        <f>SUM(G64:J64)</f>
        <v/>
      </c>
      <c r="Q64" s="58">
        <f>SUM(K64:N64)</f>
        <v/>
      </c>
    </row>
    <row r="65" ht="15" customHeight="1" s="39">
      <c r="A65" s="66" t="inlineStr">
        <is>
          <t>コスト合計</t>
        </is>
      </c>
      <c r="B65" s="67" t="inlineStr">
        <is>
          <t>円</t>
        </is>
      </c>
      <c r="C65" s="68">
        <f>C58+C59+C60+C61+C62+C63+C64</f>
        <v/>
      </c>
      <c r="D65" s="68">
        <f>D58+D59+D60+D61+D62+D63+D64</f>
        <v/>
      </c>
      <c r="E65" s="68">
        <f>E58+E59+E60+E61+E62+E63+E64</f>
        <v/>
      </c>
      <c r="F65" s="68">
        <f>F58+F59+F60+F61+F62+F63+F64</f>
        <v/>
      </c>
      <c r="G65" s="68">
        <f>G58+G59+G60+G61+G62+G63+G64</f>
        <v/>
      </c>
      <c r="H65" s="68">
        <f>H58+H59+H60+H61+H62+H63+H64</f>
        <v/>
      </c>
      <c r="I65" s="68">
        <f>I58+I59+I60+I61+I62+I63+I64</f>
        <v/>
      </c>
      <c r="J65" s="68">
        <f>J58+J59+J60+J61+J62+J63+J64</f>
        <v/>
      </c>
      <c r="K65" s="68">
        <f>K58+K59+K60+K61+K62+K63+K64</f>
        <v/>
      </c>
      <c r="L65" s="68">
        <f>L58+L59+L60+L61+L62+L63+L64</f>
        <v/>
      </c>
      <c r="M65" s="68">
        <f>M58+M59+M60+M61+M62+M63+M64</f>
        <v/>
      </c>
      <c r="N65" s="68">
        <f>N58+N59+N60+N61+N62+N63+N64</f>
        <v/>
      </c>
      <c r="O65" s="68">
        <f>SUM(C65:F65)</f>
        <v/>
      </c>
      <c r="P65" s="68">
        <f>SUM(G65:J65)</f>
        <v/>
      </c>
      <c r="Q65" s="68">
        <f>SUM(K65:N65)</f>
        <v/>
      </c>
    </row>
    <row r="66" ht="15" customHeight="1" s="39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</row>
    <row r="67" ht="15" customHeight="1" s="39">
      <c r="A67" s="40" t="inlineStr">
        <is>
          <t>【損益】</t>
        </is>
      </c>
    </row>
    <row r="68" ht="15" customHeight="1" s="39">
      <c r="A68" s="70" t="inlineStr">
        <is>
          <t>営業損益（四半期）</t>
        </is>
      </c>
      <c r="B68" s="71" t="inlineStr">
        <is>
          <t>円</t>
        </is>
      </c>
      <c r="C68" s="72">
        <f>C55-C65</f>
        <v/>
      </c>
      <c r="D68" s="72">
        <f>D55-D65</f>
        <v/>
      </c>
      <c r="E68" s="72">
        <f>E55-E65</f>
        <v/>
      </c>
      <c r="F68" s="72">
        <f>F55-F65</f>
        <v/>
      </c>
      <c r="G68" s="72">
        <f>G55-G65</f>
        <v/>
      </c>
      <c r="H68" s="72">
        <f>H55-H65</f>
        <v/>
      </c>
      <c r="I68" s="72">
        <f>I55-I65</f>
        <v/>
      </c>
      <c r="J68" s="72">
        <f>J55-J65</f>
        <v/>
      </c>
      <c r="K68" s="72">
        <f>K55-K65</f>
        <v/>
      </c>
      <c r="L68" s="72">
        <f>L55-L65</f>
        <v/>
      </c>
      <c r="M68" s="72">
        <f>M55-M65</f>
        <v/>
      </c>
      <c r="N68" s="72">
        <f>N55-N65</f>
        <v/>
      </c>
      <c r="O68" s="72">
        <f>SUM(C68:F68)</f>
        <v/>
      </c>
      <c r="P68" s="72">
        <f>SUM(G68:J68)</f>
        <v/>
      </c>
      <c r="Q68" s="72">
        <f>SUM(K68:N68)</f>
        <v/>
      </c>
    </row>
    <row r="69" ht="15" customHeight="1" s="39">
      <c r="A69" s="44" t="inlineStr">
        <is>
          <t>累計損益</t>
        </is>
      </c>
      <c r="B69" s="45" t="inlineStr">
        <is>
          <t>円</t>
        </is>
      </c>
      <c r="C69" s="73">
        <f>C68</f>
        <v/>
      </c>
      <c r="D69" s="73">
        <f>C69+D68</f>
        <v/>
      </c>
      <c r="E69" s="73">
        <f>D69+E68</f>
        <v/>
      </c>
      <c r="F69" s="73">
        <f>E69+F68</f>
        <v/>
      </c>
      <c r="G69" s="73">
        <f>F69+G68</f>
        <v/>
      </c>
      <c r="H69" s="73">
        <f>G69+H68</f>
        <v/>
      </c>
      <c r="I69" s="73">
        <f>H69+I68</f>
        <v/>
      </c>
      <c r="J69" s="73">
        <f>I69+J68</f>
        <v/>
      </c>
      <c r="K69" s="73">
        <f>J69+K68</f>
        <v/>
      </c>
      <c r="L69" s="73">
        <f>K69+L68</f>
        <v/>
      </c>
      <c r="M69" s="73">
        <f>L69+M68</f>
        <v/>
      </c>
      <c r="N69" s="73">
        <f>M69+N68</f>
        <v/>
      </c>
      <c r="O69" s="73">
        <f>F69</f>
        <v/>
      </c>
      <c r="P69" s="73">
        <f>J69</f>
        <v/>
      </c>
      <c r="Q69" s="73">
        <f>N69</f>
        <v/>
      </c>
    </row>
  </sheetData>
  <mergeCells count="3">
    <mergeCell ref="C22:F22"/>
    <mergeCell ref="G22:J22"/>
    <mergeCell ref="K22:N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8" min="1" max="1"/>
    <col width="10" customWidth="1" style="38" min="2" max="2"/>
    <col width="12" customWidth="1" style="38" min="3" max="19"/>
  </cols>
  <sheetData>
    <row r="1" ht="21.6" customHeight="1" s="39">
      <c r="A1" s="47" t="inlineStr">
        <is>
          <t>Chronos — 標準シナリオ</t>
        </is>
      </c>
    </row>
    <row r="2" ht="15" customHeight="1" s="39">
      <c r="A2" s="45" t="inlineStr">
        <is>
          <t>着実な成長・口コミ拡散あり</t>
        </is>
      </c>
    </row>
    <row r="4" ht="15" customHeight="1" s="39">
      <c r="A4" s="48" t="inlineStr">
        <is>
          <t>■ 前提条件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</row>
    <row r="5" ht="15" customHeight="1" s="39">
      <c r="A5" s="43" t="inlineStr">
        <is>
          <t>Pro月額 国内</t>
        </is>
      </c>
      <c r="B5" s="50" t="n">
        <v>800</v>
      </c>
    </row>
    <row r="6" ht="15" customHeight="1" s="39">
      <c r="A6" s="43" t="inlineStr">
        <is>
          <t>Pro月額 英語圏</t>
        </is>
      </c>
      <c r="B6" s="50" t="n">
        <v>1200</v>
      </c>
    </row>
    <row r="7" ht="15" customHeight="1" s="39">
      <c r="A7" s="43" t="inlineStr">
        <is>
          <t>Pro月額 欧州DE/ES</t>
        </is>
      </c>
      <c r="B7" s="50" t="n">
        <v>1200</v>
      </c>
    </row>
    <row r="8" ht="15" customHeight="1" s="39">
      <c r="A8" s="43" t="inlineStr">
        <is>
          <t>Pro月額 韓国</t>
        </is>
      </c>
      <c r="B8" s="50" t="n">
        <v>900</v>
      </c>
    </row>
    <row r="9" ht="15" customHeight="1" s="39">
      <c r="A9" s="43" t="inlineStr">
        <is>
          <t>Pro月額 台湾</t>
        </is>
      </c>
      <c r="B9" s="50" t="n">
        <v>750</v>
      </c>
    </row>
    <row r="10" ht="15" customHeight="1" s="39">
      <c r="A10" s="43" t="inlineStr">
        <is>
          <t>Business年額</t>
        </is>
      </c>
      <c r="B10" s="50" t="n">
        <v>60000</v>
      </c>
    </row>
    <row r="11" ht="15" customHeight="1" s="39">
      <c r="A11" s="41" t="inlineStr">
        <is>
          <t>転換率 国内</t>
        </is>
      </c>
      <c r="B11" s="51" t="n">
        <v>0.03</v>
      </c>
    </row>
    <row r="12" ht="15" customHeight="1" s="39">
      <c r="A12" s="41" t="inlineStr">
        <is>
          <t>転換率 英語圏</t>
        </is>
      </c>
      <c r="B12" s="51" t="n">
        <v>0.05</v>
      </c>
    </row>
    <row r="13" ht="15" customHeight="1" s="39">
      <c r="A13" s="41" t="inlineStr">
        <is>
          <t>転換率 欧州DE/ES</t>
        </is>
      </c>
      <c r="B13" s="51" t="n">
        <v>0.04</v>
      </c>
    </row>
    <row r="14" ht="15" customHeight="1" s="39">
      <c r="A14" s="41" t="inlineStr">
        <is>
          <t>転換率 韓国</t>
        </is>
      </c>
      <c r="B14" s="51" t="n">
        <v>0.04</v>
      </c>
    </row>
    <row r="15" ht="15" customHeight="1" s="39">
      <c r="A15" s="41" t="inlineStr">
        <is>
          <t>転換率 台湾</t>
        </is>
      </c>
      <c r="B15" s="51" t="n">
        <v>0.035</v>
      </c>
    </row>
    <row r="16" ht="15" customHeight="1" s="39">
      <c r="A16" s="41" t="inlineStr">
        <is>
          <t>月次解約率（Pro）</t>
        </is>
      </c>
      <c r="B16" s="51" t="n">
        <v>0.05</v>
      </c>
    </row>
    <row r="17" ht="15" customHeight="1" s="39">
      <c r="A17" s="41" t="inlineStr">
        <is>
          <t>四半期解約率（Business）</t>
        </is>
      </c>
      <c r="B17" s="51" t="n">
        <v>0.02</v>
      </c>
    </row>
    <row r="18" ht="15" customHeight="1" s="39">
      <c r="A18" s="41" t="inlineStr">
        <is>
          <t>エンジニア月額</t>
        </is>
      </c>
      <c r="B18" s="50" t="n">
        <v>200000</v>
      </c>
    </row>
    <row r="21" ht="15" customHeight="1" s="39">
      <c r="A21" s="48" t="inlineStr">
        <is>
          <t>■ 四半期別収支</t>
        </is>
      </c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</row>
    <row r="22" ht="15" customHeight="1" s="39">
      <c r="C22" s="52" t="inlineStr">
        <is>
          <t>Year 1</t>
        </is>
      </c>
      <c r="G22" s="52" t="inlineStr">
        <is>
          <t>Year 2</t>
        </is>
      </c>
      <c r="K22" s="52" t="inlineStr">
        <is>
          <t>Year 3</t>
        </is>
      </c>
    </row>
    <row r="23" ht="15" customHeight="1" s="39">
      <c r="A23" s="53" t="n"/>
      <c r="B23" s="54" t="inlineStr">
        <is>
          <t>単位</t>
        </is>
      </c>
      <c r="C23" s="55" t="inlineStr">
        <is>
          <t>Y1Q1</t>
        </is>
      </c>
      <c r="D23" s="55" t="inlineStr">
        <is>
          <t>Y1Q2</t>
        </is>
      </c>
      <c r="E23" s="55" t="inlineStr">
        <is>
          <t>Y1Q3</t>
        </is>
      </c>
      <c r="F23" s="55" t="inlineStr">
        <is>
          <t>Y1Q4</t>
        </is>
      </c>
      <c r="G23" s="55" t="inlineStr">
        <is>
          <t>Y2Q1</t>
        </is>
      </c>
      <c r="H23" s="55" t="inlineStr">
        <is>
          <t>Y2Q2</t>
        </is>
      </c>
      <c r="I23" s="55" t="inlineStr">
        <is>
          <t>Y2Q3</t>
        </is>
      </c>
      <c r="J23" s="55" t="inlineStr">
        <is>
          <t>Y2Q4</t>
        </is>
      </c>
      <c r="K23" s="55" t="inlineStr">
        <is>
          <t>Y3Q1</t>
        </is>
      </c>
      <c r="L23" s="55" t="inlineStr">
        <is>
          <t>Y3Q2</t>
        </is>
      </c>
      <c r="M23" s="55" t="inlineStr">
        <is>
          <t>Y3Q3</t>
        </is>
      </c>
      <c r="N23" s="55" t="inlineStr">
        <is>
          <t>Y3Q4</t>
        </is>
      </c>
      <c r="O23" s="56" t="inlineStr">
        <is>
          <t>Y1計</t>
        </is>
      </c>
      <c r="P23" s="56" t="inlineStr">
        <is>
          <t>Y2計</t>
        </is>
      </c>
      <c r="Q23" s="56" t="inlineStr">
        <is>
          <t>Y3計</t>
        </is>
      </c>
    </row>
    <row r="24" ht="15" customHeight="1" s="39">
      <c r="A24" s="41" t="inlineStr">
        <is>
          <t>【国内】新規登録</t>
        </is>
      </c>
      <c r="B24" s="45" t="inlineStr">
        <is>
          <t>人</t>
        </is>
      </c>
      <c r="C24" s="57" t="n">
        <v>200</v>
      </c>
      <c r="D24" s="57" t="n">
        <v>500</v>
      </c>
      <c r="E24" s="57" t="n">
        <v>900</v>
      </c>
      <c r="F24" s="57" t="n">
        <v>1200</v>
      </c>
      <c r="G24" s="57" t="n">
        <v>1500</v>
      </c>
      <c r="H24" s="57" t="n">
        <v>1800</v>
      </c>
      <c r="I24" s="57" t="n">
        <v>2000</v>
      </c>
      <c r="J24" s="57" t="n">
        <v>2200</v>
      </c>
      <c r="K24" s="57" t="n">
        <v>2400</v>
      </c>
      <c r="L24" s="57" t="n">
        <v>2600</v>
      </c>
      <c r="M24" s="57" t="n">
        <v>2800</v>
      </c>
      <c r="N24" s="57" t="n">
        <v>3000</v>
      </c>
      <c r="O24" s="58">
        <f>SUM(C24:F24)</f>
        <v/>
      </c>
      <c r="P24" s="58">
        <f>SUM(G24:J24)</f>
        <v/>
      </c>
      <c r="Q24" s="58">
        <f>SUM(K24:N24)</f>
        <v/>
      </c>
    </row>
    <row r="25" ht="15" customHeight="1" s="39">
      <c r="A25" s="45" t="inlineStr">
        <is>
          <t xml:space="preserve">  国内Pro</t>
        </is>
      </c>
      <c r="B25" s="45" t="inlineStr">
        <is>
          <t>人</t>
        </is>
      </c>
      <c r="C25" s="59">
        <f>ROUND(C24*B11,0)</f>
        <v/>
      </c>
      <c r="D25" s="59">
        <f>ROUND(C25*(1-B16)^3+D24*B11,0)</f>
        <v/>
      </c>
      <c r="E25" s="59">
        <f>ROUND(D25*(1-B16)^3+E24*B11,0)</f>
        <v/>
      </c>
      <c r="F25" s="59">
        <f>ROUND(E25*(1-B16)^3+F24*B11,0)</f>
        <v/>
      </c>
      <c r="G25" s="59">
        <f>ROUND(F25*(1-B16)^3+G24*B11,0)</f>
        <v/>
      </c>
      <c r="H25" s="59">
        <f>ROUND(G25*(1-B16)^3+H24*B11,0)</f>
        <v/>
      </c>
      <c r="I25" s="59">
        <f>ROUND(H25*(1-B16)^3+I24*B11,0)</f>
        <v/>
      </c>
      <c r="J25" s="59">
        <f>ROUND(I25*(1-B16)^3+J24*B11,0)</f>
        <v/>
      </c>
      <c r="K25" s="59">
        <f>ROUND(J25*(1-B16)^3+K24*B11,0)</f>
        <v/>
      </c>
      <c r="L25" s="59">
        <f>ROUND(K25*(1-B16)^3+L24*B11,0)</f>
        <v/>
      </c>
      <c r="M25" s="59">
        <f>ROUND(L25*(1-B16)^3+M24*B11,0)</f>
        <v/>
      </c>
      <c r="N25" s="59">
        <f>ROUND(M25*(1-B16)^3+N24*B11,0)</f>
        <v/>
      </c>
      <c r="O25" s="58">
        <f>F25</f>
        <v/>
      </c>
      <c r="P25" s="58">
        <f>J25</f>
        <v/>
      </c>
      <c r="Q25" s="58">
        <f>N25</f>
        <v/>
      </c>
    </row>
    <row r="26" ht="15" customHeight="1" s="39">
      <c r="A26" s="45" t="inlineStr">
        <is>
          <t xml:space="preserve">  国内Pro売上</t>
        </is>
      </c>
      <c r="B26" s="45" t="inlineStr">
        <is>
          <t>円</t>
        </is>
      </c>
      <c r="C26" s="59">
        <f>C25*B5*3</f>
        <v/>
      </c>
      <c r="D26" s="59">
        <f>D25*B5*3</f>
        <v/>
      </c>
      <c r="E26" s="59">
        <f>E25*B5*3</f>
        <v/>
      </c>
      <c r="F26" s="59">
        <f>F25*B5*3</f>
        <v/>
      </c>
      <c r="G26" s="59">
        <f>G25*B5*3</f>
        <v/>
      </c>
      <c r="H26" s="59">
        <f>H25*B5*3</f>
        <v/>
      </c>
      <c r="I26" s="59">
        <f>I25*B5*3</f>
        <v/>
      </c>
      <c r="J26" s="59">
        <f>J25*B5*3</f>
        <v/>
      </c>
      <c r="K26" s="59">
        <f>K25*B5*3</f>
        <v/>
      </c>
      <c r="L26" s="59">
        <f>L25*B5*3</f>
        <v/>
      </c>
      <c r="M26" s="59">
        <f>M25*B5*3</f>
        <v/>
      </c>
      <c r="N26" s="59">
        <f>N25*B5*3</f>
        <v/>
      </c>
      <c r="O26" s="58">
        <f>SUM(C26:F26)</f>
        <v/>
      </c>
      <c r="P26" s="58">
        <f>SUM(G26:J26)</f>
        <v/>
      </c>
      <c r="Q26" s="58">
        <f>SUM(K26:N26)</f>
        <v/>
      </c>
    </row>
    <row r="27" ht="15" customHeight="1" s="39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</row>
    <row r="28" ht="15" customHeight="1" s="39">
      <c r="A28" s="41" t="inlineStr">
        <is>
          <t>【英語圏】新規登録</t>
        </is>
      </c>
      <c r="B28" s="45" t="inlineStr">
        <is>
          <t>人</t>
        </is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300</v>
      </c>
      <c r="H28" s="57" t="n">
        <v>600</v>
      </c>
      <c r="I28" s="57" t="n">
        <v>1000</v>
      </c>
      <c r="J28" s="57" t="n">
        <v>1500</v>
      </c>
      <c r="K28" s="57" t="n">
        <v>2500</v>
      </c>
      <c r="L28" s="57" t="n">
        <v>4000</v>
      </c>
      <c r="M28" s="57" t="n">
        <v>6000</v>
      </c>
      <c r="N28" s="57" t="n">
        <v>8000</v>
      </c>
      <c r="O28" s="58">
        <f>SUM(C28:F28)</f>
        <v/>
      </c>
      <c r="P28" s="58">
        <f>SUM(G28:J28)</f>
        <v/>
      </c>
      <c r="Q28" s="58">
        <f>SUM(K28:N28)</f>
        <v/>
      </c>
    </row>
    <row r="29" ht="15" customHeight="1" s="39">
      <c r="A29" s="45" t="inlineStr">
        <is>
          <t xml:space="preserve">  英語圏Pro</t>
        </is>
      </c>
      <c r="B29" s="45" t="inlineStr">
        <is>
          <t>人</t>
        </is>
      </c>
      <c r="C29" s="59">
        <f>ROUND(C28*B12,0)</f>
        <v/>
      </c>
      <c r="D29" s="59">
        <f>ROUND(C29*(1-B16)^3+D28*B12,0)</f>
        <v/>
      </c>
      <c r="E29" s="59">
        <f>ROUND(D29*(1-B16)^3+E28*B12,0)</f>
        <v/>
      </c>
      <c r="F29" s="59">
        <f>ROUND(E29*(1-B16)^3+F28*B12,0)</f>
        <v/>
      </c>
      <c r="G29" s="59">
        <f>ROUND(F29*(1-B16)^3+G28*B12,0)</f>
        <v/>
      </c>
      <c r="H29" s="59">
        <f>ROUND(G29*(1-B16)^3+H28*B12,0)</f>
        <v/>
      </c>
      <c r="I29" s="59">
        <f>ROUND(H29*(1-B16)^3+I28*B12,0)</f>
        <v/>
      </c>
      <c r="J29" s="59">
        <f>ROUND(I29*(1-B16)^3+J28*B12,0)</f>
        <v/>
      </c>
      <c r="K29" s="59">
        <f>ROUND(J29*(1-B16)^3+K28*B12,0)</f>
        <v/>
      </c>
      <c r="L29" s="59">
        <f>ROUND(K29*(1-B16)^3+L28*B12,0)</f>
        <v/>
      </c>
      <c r="M29" s="59">
        <f>ROUND(L29*(1-B16)^3+M28*B12,0)</f>
        <v/>
      </c>
      <c r="N29" s="59">
        <f>ROUND(M29*(1-B16)^3+N28*B12,0)</f>
        <v/>
      </c>
      <c r="O29" s="58">
        <f>F29</f>
        <v/>
      </c>
      <c r="P29" s="58">
        <f>J29</f>
        <v/>
      </c>
      <c r="Q29" s="58">
        <f>N29</f>
        <v/>
      </c>
    </row>
    <row r="30" ht="15" customHeight="1" s="39">
      <c r="A30" s="45" t="inlineStr">
        <is>
          <t xml:space="preserve">  英語圏Pro売上</t>
        </is>
      </c>
      <c r="B30" s="45" t="inlineStr">
        <is>
          <t>円</t>
        </is>
      </c>
      <c r="C30" s="59">
        <f>C29*B6*3</f>
        <v/>
      </c>
      <c r="D30" s="59">
        <f>D29*B6*3</f>
        <v/>
      </c>
      <c r="E30" s="59">
        <f>E29*B6*3</f>
        <v/>
      </c>
      <c r="F30" s="59">
        <f>F29*B6*3</f>
        <v/>
      </c>
      <c r="G30" s="59">
        <f>G29*B6*3</f>
        <v/>
      </c>
      <c r="H30" s="59">
        <f>H29*B6*3</f>
        <v/>
      </c>
      <c r="I30" s="59">
        <f>I29*B6*3</f>
        <v/>
      </c>
      <c r="J30" s="59">
        <f>J29*B6*3</f>
        <v/>
      </c>
      <c r="K30" s="59">
        <f>K29*B6*3</f>
        <v/>
      </c>
      <c r="L30" s="59">
        <f>L29*B6*3</f>
        <v/>
      </c>
      <c r="M30" s="59">
        <f>M29*B6*3</f>
        <v/>
      </c>
      <c r="N30" s="59">
        <f>N29*B6*3</f>
        <v/>
      </c>
      <c r="O30" s="58">
        <f>SUM(C30:F30)</f>
        <v/>
      </c>
      <c r="P30" s="58">
        <f>SUM(G30:J30)</f>
        <v/>
      </c>
      <c r="Q30" s="58">
        <f>SUM(K30:N30)</f>
        <v/>
      </c>
    </row>
    <row r="31" ht="15" customHeight="1" s="39">
      <c r="A31" s="60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</row>
    <row r="32" ht="15" customHeight="1" s="39">
      <c r="A32" s="41" t="inlineStr">
        <is>
          <t>【欧州DE/ES】新規登録</t>
        </is>
      </c>
      <c r="B32" s="45" t="inlineStr">
        <is>
          <t>人</t>
        </is>
      </c>
      <c r="C32" s="57" t="n">
        <v>0</v>
      </c>
      <c r="D32" s="57" t="n">
        <v>0</v>
      </c>
      <c r="E32" s="57" t="n">
        <v>0</v>
      </c>
      <c r="F32" s="57" t="n">
        <v>0</v>
      </c>
      <c r="G32" s="57" t="n">
        <v>0</v>
      </c>
      <c r="H32" s="57" t="n">
        <v>0</v>
      </c>
      <c r="I32" s="57" t="n">
        <v>0</v>
      </c>
      <c r="J32" s="57" t="n">
        <v>0</v>
      </c>
      <c r="K32" s="57" t="n">
        <v>400</v>
      </c>
      <c r="L32" s="57" t="n">
        <v>800</v>
      </c>
      <c r="M32" s="57" t="n">
        <v>1200</v>
      </c>
      <c r="N32" s="57" t="n">
        <v>1800</v>
      </c>
      <c r="O32" s="58">
        <f>SUM(C32:F32)</f>
        <v/>
      </c>
      <c r="P32" s="58">
        <f>SUM(G32:J32)</f>
        <v/>
      </c>
      <c r="Q32" s="58">
        <f>SUM(K32:N32)</f>
        <v/>
      </c>
    </row>
    <row r="33" ht="15" customHeight="1" s="39">
      <c r="A33" s="45" t="inlineStr">
        <is>
          <t xml:space="preserve">  欧州DE/ESPro</t>
        </is>
      </c>
      <c r="B33" s="45" t="inlineStr">
        <is>
          <t>人</t>
        </is>
      </c>
      <c r="C33" s="59">
        <f>ROUND(C32*B13,0)</f>
        <v/>
      </c>
      <c r="D33" s="59">
        <f>ROUND(C33*(1-B16)^3+D32*B13,0)</f>
        <v/>
      </c>
      <c r="E33" s="59">
        <f>ROUND(D33*(1-B16)^3+E32*B13,0)</f>
        <v/>
      </c>
      <c r="F33" s="59">
        <f>ROUND(E33*(1-B16)^3+F32*B13,0)</f>
        <v/>
      </c>
      <c r="G33" s="59">
        <f>ROUND(F33*(1-B16)^3+G32*B13,0)</f>
        <v/>
      </c>
      <c r="H33" s="59">
        <f>ROUND(G33*(1-B16)^3+H32*B13,0)</f>
        <v/>
      </c>
      <c r="I33" s="59">
        <f>ROUND(H33*(1-B16)^3+I32*B13,0)</f>
        <v/>
      </c>
      <c r="J33" s="59">
        <f>ROUND(I33*(1-B16)^3+J32*B13,0)</f>
        <v/>
      </c>
      <c r="K33" s="59">
        <f>ROUND(J33*(1-B16)^3+K32*B13,0)</f>
        <v/>
      </c>
      <c r="L33" s="59">
        <f>ROUND(K33*(1-B16)^3+L32*B13,0)</f>
        <v/>
      </c>
      <c r="M33" s="59">
        <f>ROUND(L33*(1-B16)^3+M32*B13,0)</f>
        <v/>
      </c>
      <c r="N33" s="59">
        <f>ROUND(M33*(1-B16)^3+N32*B13,0)</f>
        <v/>
      </c>
      <c r="O33" s="58">
        <f>F33</f>
        <v/>
      </c>
      <c r="P33" s="58">
        <f>J33</f>
        <v/>
      </c>
      <c r="Q33" s="58">
        <f>N33</f>
        <v/>
      </c>
    </row>
    <row r="34" ht="15" customHeight="1" s="39">
      <c r="A34" s="45" t="inlineStr">
        <is>
          <t xml:space="preserve">  欧州DE/ESPro売上</t>
        </is>
      </c>
      <c r="B34" s="45" t="inlineStr">
        <is>
          <t>円</t>
        </is>
      </c>
      <c r="C34" s="59">
        <f>C33*B7*3</f>
        <v/>
      </c>
      <c r="D34" s="59">
        <f>D33*B7*3</f>
        <v/>
      </c>
      <c r="E34" s="59">
        <f>E33*B7*3</f>
        <v/>
      </c>
      <c r="F34" s="59">
        <f>F33*B7*3</f>
        <v/>
      </c>
      <c r="G34" s="59">
        <f>G33*B7*3</f>
        <v/>
      </c>
      <c r="H34" s="59">
        <f>H33*B7*3</f>
        <v/>
      </c>
      <c r="I34" s="59">
        <f>I33*B7*3</f>
        <v/>
      </c>
      <c r="J34" s="59">
        <f>J33*B7*3</f>
        <v/>
      </c>
      <c r="K34" s="59">
        <f>K33*B7*3</f>
        <v/>
      </c>
      <c r="L34" s="59">
        <f>L33*B7*3</f>
        <v/>
      </c>
      <c r="M34" s="59">
        <f>M33*B7*3</f>
        <v/>
      </c>
      <c r="N34" s="59">
        <f>N33*B7*3</f>
        <v/>
      </c>
      <c r="O34" s="58">
        <f>SUM(C34:F34)</f>
        <v/>
      </c>
      <c r="P34" s="58">
        <f>SUM(G34:J34)</f>
        <v/>
      </c>
      <c r="Q34" s="58">
        <f>SUM(K34:N34)</f>
        <v/>
      </c>
    </row>
    <row r="35" ht="15" customHeight="1" s="39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</row>
    <row r="36" ht="15" customHeight="1" s="39">
      <c r="A36" s="41" t="inlineStr">
        <is>
          <t>【韓国】新規登録</t>
        </is>
      </c>
      <c r="B36" s="45" t="inlineStr">
        <is>
          <t>人</t>
        </is>
      </c>
      <c r="C36" s="57" t="n">
        <v>0</v>
      </c>
      <c r="D36" s="57" t="n">
        <v>0</v>
      </c>
      <c r="E36" s="57" t="n">
        <v>0</v>
      </c>
      <c r="F36" s="57" t="n">
        <v>0</v>
      </c>
      <c r="G36" s="57" t="n">
        <v>0</v>
      </c>
      <c r="H36" s="57" t="n">
        <v>0</v>
      </c>
      <c r="I36" s="57" t="n">
        <v>0</v>
      </c>
      <c r="J36" s="57" t="n">
        <v>0</v>
      </c>
      <c r="K36" s="57" t="n">
        <v>300</v>
      </c>
      <c r="L36" s="57" t="n">
        <v>600</v>
      </c>
      <c r="M36" s="57" t="n">
        <v>900</v>
      </c>
      <c r="N36" s="57" t="n">
        <v>1200</v>
      </c>
      <c r="O36" s="58">
        <f>SUM(C36:F36)</f>
        <v/>
      </c>
      <c r="P36" s="58">
        <f>SUM(G36:J36)</f>
        <v/>
      </c>
      <c r="Q36" s="58">
        <f>SUM(K36:N36)</f>
        <v/>
      </c>
    </row>
    <row r="37" ht="15" customHeight="1" s="39">
      <c r="A37" s="45" t="inlineStr">
        <is>
          <t xml:space="preserve">  韓国Pro</t>
        </is>
      </c>
      <c r="B37" s="45" t="inlineStr">
        <is>
          <t>人</t>
        </is>
      </c>
      <c r="C37" s="59">
        <f>ROUND(C36*B14,0)</f>
        <v/>
      </c>
      <c r="D37" s="59">
        <f>ROUND(C37*(1-B16)^3+D36*B14,0)</f>
        <v/>
      </c>
      <c r="E37" s="59">
        <f>ROUND(D37*(1-B16)^3+E36*B14,0)</f>
        <v/>
      </c>
      <c r="F37" s="59">
        <f>ROUND(E37*(1-B16)^3+F36*B14,0)</f>
        <v/>
      </c>
      <c r="G37" s="59">
        <f>ROUND(F37*(1-B16)^3+G36*B14,0)</f>
        <v/>
      </c>
      <c r="H37" s="59">
        <f>ROUND(G37*(1-B16)^3+H36*B14,0)</f>
        <v/>
      </c>
      <c r="I37" s="59">
        <f>ROUND(H37*(1-B16)^3+I36*B14,0)</f>
        <v/>
      </c>
      <c r="J37" s="59">
        <f>ROUND(I37*(1-B16)^3+J36*B14,0)</f>
        <v/>
      </c>
      <c r="K37" s="59">
        <f>ROUND(J37*(1-B16)^3+K36*B14,0)</f>
        <v/>
      </c>
      <c r="L37" s="59">
        <f>ROUND(K37*(1-B16)^3+L36*B14,0)</f>
        <v/>
      </c>
      <c r="M37" s="59">
        <f>ROUND(L37*(1-B16)^3+M36*B14,0)</f>
        <v/>
      </c>
      <c r="N37" s="59">
        <f>ROUND(M37*(1-B16)^3+N36*B14,0)</f>
        <v/>
      </c>
      <c r="O37" s="58">
        <f>F37</f>
        <v/>
      </c>
      <c r="P37" s="58">
        <f>J37</f>
        <v/>
      </c>
      <c r="Q37" s="58">
        <f>N37</f>
        <v/>
      </c>
    </row>
    <row r="38" ht="15" customHeight="1" s="39">
      <c r="A38" s="45" t="inlineStr">
        <is>
          <t xml:space="preserve">  韓国Pro売上</t>
        </is>
      </c>
      <c r="B38" s="45" t="inlineStr">
        <is>
          <t>円</t>
        </is>
      </c>
      <c r="C38" s="59">
        <f>C37*B8*3</f>
        <v/>
      </c>
      <c r="D38" s="59">
        <f>D37*B8*3</f>
        <v/>
      </c>
      <c r="E38" s="59">
        <f>E37*B8*3</f>
        <v/>
      </c>
      <c r="F38" s="59">
        <f>F37*B8*3</f>
        <v/>
      </c>
      <c r="G38" s="59">
        <f>G37*B8*3</f>
        <v/>
      </c>
      <c r="H38" s="59">
        <f>H37*B8*3</f>
        <v/>
      </c>
      <c r="I38" s="59">
        <f>I37*B8*3</f>
        <v/>
      </c>
      <c r="J38" s="59">
        <f>J37*B8*3</f>
        <v/>
      </c>
      <c r="K38" s="59">
        <f>K37*B8*3</f>
        <v/>
      </c>
      <c r="L38" s="59">
        <f>L37*B8*3</f>
        <v/>
      </c>
      <c r="M38" s="59">
        <f>M37*B8*3</f>
        <v/>
      </c>
      <c r="N38" s="59">
        <f>N37*B8*3</f>
        <v/>
      </c>
      <c r="O38" s="58">
        <f>SUM(C38:F38)</f>
        <v/>
      </c>
      <c r="P38" s="58">
        <f>SUM(G38:J38)</f>
        <v/>
      </c>
      <c r="Q38" s="58">
        <f>SUM(K38:N38)</f>
        <v/>
      </c>
    </row>
    <row r="39" ht="15" customHeight="1" s="39">
      <c r="A39" s="60" t="n"/>
      <c r="B39" s="60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</row>
    <row r="40" ht="15" customHeight="1" s="39">
      <c r="A40" s="41" t="inlineStr">
        <is>
          <t>【台湾】新規登録</t>
        </is>
      </c>
      <c r="B40" s="45" t="inlineStr">
        <is>
          <t>人</t>
        </is>
      </c>
      <c r="C40" s="57" t="n">
        <v>0</v>
      </c>
      <c r="D40" s="57" t="n">
        <v>0</v>
      </c>
      <c r="E40" s="57" t="n">
        <v>0</v>
      </c>
      <c r="F40" s="57" t="n">
        <v>0</v>
      </c>
      <c r="G40" s="57" t="n">
        <v>0</v>
      </c>
      <c r="H40" s="57" t="n">
        <v>0</v>
      </c>
      <c r="I40" s="57" t="n">
        <v>0</v>
      </c>
      <c r="J40" s="57" t="n">
        <v>0</v>
      </c>
      <c r="K40" s="57" t="n">
        <v>150</v>
      </c>
      <c r="L40" s="57" t="n">
        <v>300</v>
      </c>
      <c r="M40" s="57" t="n">
        <v>450</v>
      </c>
      <c r="N40" s="57" t="n">
        <v>600</v>
      </c>
      <c r="O40" s="58">
        <f>SUM(C40:F40)</f>
        <v/>
      </c>
      <c r="P40" s="58">
        <f>SUM(G40:J40)</f>
        <v/>
      </c>
      <c r="Q40" s="58">
        <f>SUM(K40:N40)</f>
        <v/>
      </c>
    </row>
    <row r="41" ht="15" customHeight="1" s="39">
      <c r="A41" s="45" t="inlineStr">
        <is>
          <t xml:space="preserve">  台湾Pro</t>
        </is>
      </c>
      <c r="B41" s="45" t="inlineStr">
        <is>
          <t>人</t>
        </is>
      </c>
      <c r="C41" s="59">
        <f>ROUND(C40*B15,0)</f>
        <v/>
      </c>
      <c r="D41" s="59">
        <f>ROUND(C41*(1-B16)^3+D40*B15,0)</f>
        <v/>
      </c>
      <c r="E41" s="59">
        <f>ROUND(D41*(1-B16)^3+E40*B15,0)</f>
        <v/>
      </c>
      <c r="F41" s="59">
        <f>ROUND(E41*(1-B16)^3+F40*B15,0)</f>
        <v/>
      </c>
      <c r="G41" s="59">
        <f>ROUND(F41*(1-B16)^3+G40*B15,0)</f>
        <v/>
      </c>
      <c r="H41" s="59">
        <f>ROUND(G41*(1-B16)^3+H40*B15,0)</f>
        <v/>
      </c>
      <c r="I41" s="59">
        <f>ROUND(H41*(1-B16)^3+I40*B15,0)</f>
        <v/>
      </c>
      <c r="J41" s="59">
        <f>ROUND(I41*(1-B16)^3+J40*B15,0)</f>
        <v/>
      </c>
      <c r="K41" s="59">
        <f>ROUND(J41*(1-B16)^3+K40*B15,0)</f>
        <v/>
      </c>
      <c r="L41" s="59">
        <f>ROUND(K41*(1-B16)^3+L40*B15,0)</f>
        <v/>
      </c>
      <c r="M41" s="59">
        <f>ROUND(L41*(1-B16)^3+M40*B15,0)</f>
        <v/>
      </c>
      <c r="N41" s="59">
        <f>ROUND(M41*(1-B16)^3+N40*B15,0)</f>
        <v/>
      </c>
      <c r="O41" s="58">
        <f>F41</f>
        <v/>
      </c>
      <c r="P41" s="58">
        <f>J41</f>
        <v/>
      </c>
      <c r="Q41" s="58">
        <f>N41</f>
        <v/>
      </c>
    </row>
    <row r="42" ht="15" customHeight="1" s="39">
      <c r="A42" s="45" t="inlineStr">
        <is>
          <t xml:space="preserve">  台湾Pro売上</t>
        </is>
      </c>
      <c r="B42" s="45" t="inlineStr">
        <is>
          <t>円</t>
        </is>
      </c>
      <c r="C42" s="59">
        <f>C41*B9*3</f>
        <v/>
      </c>
      <c r="D42" s="59">
        <f>D41*B9*3</f>
        <v/>
      </c>
      <c r="E42" s="59">
        <f>E41*B9*3</f>
        <v/>
      </c>
      <c r="F42" s="59">
        <f>F41*B9*3</f>
        <v/>
      </c>
      <c r="G42" s="59">
        <f>G41*B9*3</f>
        <v/>
      </c>
      <c r="H42" s="59">
        <f>H41*B9*3</f>
        <v/>
      </c>
      <c r="I42" s="59">
        <f>I41*B9*3</f>
        <v/>
      </c>
      <c r="J42" s="59">
        <f>J41*B9*3</f>
        <v/>
      </c>
      <c r="K42" s="59">
        <f>K41*B9*3</f>
        <v/>
      </c>
      <c r="L42" s="59">
        <f>L41*B9*3</f>
        <v/>
      </c>
      <c r="M42" s="59">
        <f>M41*B9*3</f>
        <v/>
      </c>
      <c r="N42" s="59">
        <f>N41*B9*3</f>
        <v/>
      </c>
      <c r="O42" s="58">
        <f>SUM(C42:F42)</f>
        <v/>
      </c>
      <c r="P42" s="58">
        <f>SUM(G42:J42)</f>
        <v/>
      </c>
      <c r="Q42" s="58">
        <f>SUM(K42:N42)</f>
        <v/>
      </c>
    </row>
    <row r="43" ht="15" customHeight="1" s="39">
      <c r="A43" s="60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</row>
    <row r="44" ht="15" customHeight="1" s="39">
      <c r="A44" s="41" t="inlineStr">
        <is>
          <t>【Business】新規契約（四半期）</t>
        </is>
      </c>
      <c r="B44" s="45" t="inlineStr">
        <is>
          <t>社</t>
        </is>
      </c>
      <c r="C44" s="57" t="n">
        <v>0</v>
      </c>
      <c r="D44" s="57" t="n">
        <v>0</v>
      </c>
      <c r="E44" s="57" t="n">
        <v>0</v>
      </c>
      <c r="F44" s="57" t="n">
        <v>0</v>
      </c>
      <c r="G44" s="57" t="n">
        <v>0</v>
      </c>
      <c r="H44" s="57" t="n">
        <v>0</v>
      </c>
      <c r="I44" s="57" t="n">
        <v>0</v>
      </c>
      <c r="J44" s="57" t="n">
        <v>0</v>
      </c>
      <c r="K44" s="57" t="n">
        <v>3</v>
      </c>
      <c r="L44" s="57" t="n">
        <v>5</v>
      </c>
      <c r="M44" s="57" t="n">
        <v>8</v>
      </c>
      <c r="N44" s="57" t="n">
        <v>12</v>
      </c>
      <c r="O44" s="58">
        <f>SUM(C44:F44)</f>
        <v/>
      </c>
      <c r="P44" s="58">
        <f>SUM(G44:J44)</f>
        <v/>
      </c>
      <c r="Q44" s="58">
        <f>SUM(K44:N44)</f>
        <v/>
      </c>
    </row>
    <row r="45" ht="15" customHeight="1" s="39">
      <c r="A45" s="42" t="inlineStr">
        <is>
          <t xml:space="preserve">  Business契約社数</t>
        </is>
      </c>
      <c r="B45" s="45" t="inlineStr">
        <is>
          <t>社</t>
        </is>
      </c>
      <c r="C45" s="59">
        <f>C44</f>
        <v/>
      </c>
      <c r="D45" s="59">
        <f>ROUND(C45*(1-B17)+D44,0)</f>
        <v/>
      </c>
      <c r="E45" s="59">
        <f>ROUND(D45*(1-B17)+E44,0)</f>
        <v/>
      </c>
      <c r="F45" s="59">
        <f>ROUND(E45*(1-B17)+F44,0)</f>
        <v/>
      </c>
      <c r="G45" s="59">
        <f>ROUND(F45*(1-B17)+G44,0)</f>
        <v/>
      </c>
      <c r="H45" s="59">
        <f>ROUND(G45*(1-B17)+H44,0)</f>
        <v/>
      </c>
      <c r="I45" s="59">
        <f>ROUND(H45*(1-B17)+I44,0)</f>
        <v/>
      </c>
      <c r="J45" s="59">
        <f>ROUND(I45*(1-B17)+J44,0)</f>
        <v/>
      </c>
      <c r="K45" s="59">
        <f>ROUND(J45*(1-B17)+K44,0)</f>
        <v/>
      </c>
      <c r="L45" s="59">
        <f>ROUND(K45*(1-B17)+L44,0)</f>
        <v/>
      </c>
      <c r="M45" s="59">
        <f>ROUND(L45*(1-B17)+M44,0)</f>
        <v/>
      </c>
      <c r="N45" s="59">
        <f>ROUND(M45*(1-B17)+N44,0)</f>
        <v/>
      </c>
      <c r="O45" s="58">
        <f>F45</f>
        <v/>
      </c>
      <c r="P45" s="58">
        <f>J45</f>
        <v/>
      </c>
      <c r="Q45" s="58">
        <f>N45</f>
        <v/>
      </c>
    </row>
    <row r="46" ht="15" customHeight="1" s="39">
      <c r="A46" s="42" t="inlineStr">
        <is>
          <t xml:space="preserve">  Business売上</t>
        </is>
      </c>
      <c r="B46" s="45" t="inlineStr">
        <is>
          <t>円</t>
        </is>
      </c>
      <c r="C46" s="59">
        <f>C45*B10/4</f>
        <v/>
      </c>
      <c r="D46" s="59">
        <f>D45*B10/4</f>
        <v/>
      </c>
      <c r="E46" s="59">
        <f>E45*B10/4</f>
        <v/>
      </c>
      <c r="F46" s="59">
        <f>F45*B10/4</f>
        <v/>
      </c>
      <c r="G46" s="59">
        <f>G45*B10/4</f>
        <v/>
      </c>
      <c r="H46" s="59">
        <f>H45*B10/4</f>
        <v/>
      </c>
      <c r="I46" s="59">
        <f>I45*B10/4</f>
        <v/>
      </c>
      <c r="J46" s="59">
        <f>J45*B10/4</f>
        <v/>
      </c>
      <c r="K46" s="59">
        <f>K45*B10/4</f>
        <v/>
      </c>
      <c r="L46" s="59">
        <f>L45*B10/4</f>
        <v/>
      </c>
      <c r="M46" s="59">
        <f>M45*B10/4</f>
        <v/>
      </c>
      <c r="N46" s="59">
        <f>N45*B10/4</f>
        <v/>
      </c>
      <c r="O46" s="58">
        <f>SUM(C46:F46)</f>
        <v/>
      </c>
      <c r="P46" s="58">
        <f>SUM(G46:J46)</f>
        <v/>
      </c>
      <c r="Q46" s="58">
        <f>SUM(K46:N46)</f>
        <v/>
      </c>
    </row>
    <row r="47" ht="15" customHeight="1" s="39">
      <c r="A47" s="60" t="n"/>
      <c r="B47" s="60" t="n"/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</row>
    <row r="48" ht="15" customHeight="1" s="39">
      <c r="A48" s="61" t="inlineStr">
        <is>
          <t>Proユーザー合計</t>
        </is>
      </c>
      <c r="B48" s="62" t="inlineStr">
        <is>
          <t>人</t>
        </is>
      </c>
      <c r="C48" s="63">
        <f>C25+C29+C33+C37+C41</f>
        <v/>
      </c>
      <c r="D48" s="63">
        <f>D25+D29+D33+D37+D41</f>
        <v/>
      </c>
      <c r="E48" s="63">
        <f>E25+E29+E33+E37+E41</f>
        <v/>
      </c>
      <c r="F48" s="63">
        <f>F25+F29+F33+F37+F41</f>
        <v/>
      </c>
      <c r="G48" s="63">
        <f>G25+G29+G33+G37+G41</f>
        <v/>
      </c>
      <c r="H48" s="63">
        <f>H25+H29+H33+H37+H41</f>
        <v/>
      </c>
      <c r="I48" s="63">
        <f>I25+I29+I33+I37+I41</f>
        <v/>
      </c>
      <c r="J48" s="63">
        <f>J25+J29+J33+J37+J41</f>
        <v/>
      </c>
      <c r="K48" s="63">
        <f>K25+K29+K33+K37+K41</f>
        <v/>
      </c>
      <c r="L48" s="63">
        <f>L25+L29+L33+L37+L41</f>
        <v/>
      </c>
      <c r="M48" s="63">
        <f>M25+M29+M33+M37+M41</f>
        <v/>
      </c>
      <c r="N48" s="63">
        <f>N25+N29+N33+N37+N41</f>
        <v/>
      </c>
      <c r="O48" s="58">
        <f>F48</f>
        <v/>
      </c>
      <c r="P48" s="58">
        <f>J48</f>
        <v/>
      </c>
      <c r="Q48" s="58">
        <f>N48</f>
        <v/>
      </c>
    </row>
    <row r="49" ht="15" customHeight="1" s="39">
      <c r="A49" s="64" t="inlineStr">
        <is>
          <t>累計登録ユーザー（全地域）</t>
        </is>
      </c>
      <c r="B49" s="62" t="inlineStr">
        <is>
          <t>人</t>
        </is>
      </c>
      <c r="C49" s="63">
        <f>C24+C28+C32+C36+C40</f>
        <v/>
      </c>
      <c r="D49" s="63">
        <f>C49+D24+D28+D32+D36+D40</f>
        <v/>
      </c>
      <c r="E49" s="63">
        <f>D49+E24+E28+E32+E36+E40</f>
        <v/>
      </c>
      <c r="F49" s="63">
        <f>E49+F24+F28+F32+F36+F40</f>
        <v/>
      </c>
      <c r="G49" s="63">
        <f>F49+G24+G28+G32+G36+G40</f>
        <v/>
      </c>
      <c r="H49" s="63">
        <f>G49+H24+H28+H32+H36+H40</f>
        <v/>
      </c>
      <c r="I49" s="63">
        <f>H49+I24+I28+I32+I36+I40</f>
        <v/>
      </c>
      <c r="J49" s="63">
        <f>I49+J24+J28+J32+J36+J40</f>
        <v/>
      </c>
      <c r="K49" s="63">
        <f>J49+K24+K28+K32+K36+K40</f>
        <v/>
      </c>
      <c r="L49" s="63">
        <f>K49+L24+L28+L32+L36+L40</f>
        <v/>
      </c>
      <c r="M49" s="63">
        <f>L49+M24+M28+M32+M36+M40</f>
        <v/>
      </c>
      <c r="N49" s="63">
        <f>M49+N24+N28+N32+N36+N40</f>
        <v/>
      </c>
      <c r="O49" s="58">
        <f>F49</f>
        <v/>
      </c>
      <c r="P49" s="58">
        <f>J49</f>
        <v/>
      </c>
      <c r="Q49" s="58">
        <f>N49</f>
        <v/>
      </c>
    </row>
    <row r="50" ht="15" customHeight="1" s="39">
      <c r="A50" s="45" t="inlineStr">
        <is>
          <t>推定MAU（累計×30%）</t>
        </is>
      </c>
      <c r="B50" s="45" t="inlineStr">
        <is>
          <t>人</t>
        </is>
      </c>
      <c r="C50" s="65">
        <f>ROUND(C49*0.3,0)</f>
        <v/>
      </c>
      <c r="D50" s="65">
        <f>ROUND(D49*0.3,0)</f>
        <v/>
      </c>
      <c r="E50" s="65">
        <f>ROUND(E49*0.3,0)</f>
        <v/>
      </c>
      <c r="F50" s="65">
        <f>ROUND(F49*0.3,0)</f>
        <v/>
      </c>
      <c r="G50" s="65">
        <f>ROUND(G49*0.3,0)</f>
        <v/>
      </c>
      <c r="H50" s="65">
        <f>ROUND(H49*0.3,0)</f>
        <v/>
      </c>
      <c r="I50" s="65">
        <f>ROUND(I49*0.3,0)</f>
        <v/>
      </c>
      <c r="J50" s="65">
        <f>ROUND(J49*0.3,0)</f>
        <v/>
      </c>
      <c r="K50" s="65">
        <f>ROUND(K49*0.3,0)</f>
        <v/>
      </c>
      <c r="L50" s="65">
        <f>ROUND(L49*0.3,0)</f>
        <v/>
      </c>
      <c r="M50" s="65">
        <f>ROUND(M49*0.3,0)</f>
        <v/>
      </c>
      <c r="N50" s="65">
        <f>ROUND(N49*0.3,0)</f>
        <v/>
      </c>
      <c r="O50" s="58">
        <f>F50</f>
        <v/>
      </c>
      <c r="P50" s="58">
        <f>J50</f>
        <v/>
      </c>
      <c r="Q50" s="58">
        <f>N50</f>
        <v/>
      </c>
    </row>
    <row r="51" ht="15" customHeight="1" s="39">
      <c r="A51" s="60" t="n"/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</row>
    <row r="52" ht="15" customHeight="1" s="39">
      <c r="A52" s="40" t="inlineStr">
        <is>
          <t>【売上】</t>
        </is>
      </c>
    </row>
    <row r="53" ht="15" customHeight="1" s="39">
      <c r="A53" s="43" t="inlineStr">
        <is>
          <t>Pro売上合計</t>
        </is>
      </c>
      <c r="B53" s="45" t="inlineStr">
        <is>
          <t>円</t>
        </is>
      </c>
      <c r="C53" s="59">
        <f>C26+C30+C34+C38+C42</f>
        <v/>
      </c>
      <c r="D53" s="59">
        <f>D26+D30+D34+D38+D42</f>
        <v/>
      </c>
      <c r="E53" s="59">
        <f>E26+E30+E34+E38+E42</f>
        <v/>
      </c>
      <c r="F53" s="59">
        <f>F26+F30+F34+F38+F42</f>
        <v/>
      </c>
      <c r="G53" s="59">
        <f>G26+G30+G34+G38+G42</f>
        <v/>
      </c>
      <c r="H53" s="59">
        <f>H26+H30+H34+H38+H42</f>
        <v/>
      </c>
      <c r="I53" s="59">
        <f>I26+I30+I34+I38+I42</f>
        <v/>
      </c>
      <c r="J53" s="59">
        <f>J26+J30+J34+J38+J42</f>
        <v/>
      </c>
      <c r="K53" s="59">
        <f>K26+K30+K34+K38+K42</f>
        <v/>
      </c>
      <c r="L53" s="59">
        <f>L26+L30+L34+L38+L42</f>
        <v/>
      </c>
      <c r="M53" s="59">
        <f>M26+M30+M34+M38+M42</f>
        <v/>
      </c>
      <c r="N53" s="59">
        <f>N26+N30+N34+N38+N42</f>
        <v/>
      </c>
      <c r="O53" s="58">
        <f>SUM(C53:F53)</f>
        <v/>
      </c>
      <c r="P53" s="58">
        <f>SUM(G53:J53)</f>
        <v/>
      </c>
      <c r="Q53" s="58">
        <f>SUM(K53:N53)</f>
        <v/>
      </c>
    </row>
    <row r="54" ht="15" customHeight="1" s="39">
      <c r="A54" s="43" t="inlineStr">
        <is>
          <t>Business売上合計</t>
        </is>
      </c>
      <c r="B54" s="45" t="inlineStr">
        <is>
          <t>円</t>
        </is>
      </c>
      <c r="C54" s="59">
        <f>C46</f>
        <v/>
      </c>
      <c r="D54" s="59">
        <f>D46</f>
        <v/>
      </c>
      <c r="E54" s="59">
        <f>E46</f>
        <v/>
      </c>
      <c r="F54" s="59">
        <f>F46</f>
        <v/>
      </c>
      <c r="G54" s="59">
        <f>G46</f>
        <v/>
      </c>
      <c r="H54" s="59">
        <f>H46</f>
        <v/>
      </c>
      <c r="I54" s="59">
        <f>I46</f>
        <v/>
      </c>
      <c r="J54" s="59">
        <f>J46</f>
        <v/>
      </c>
      <c r="K54" s="59">
        <f>K46</f>
        <v/>
      </c>
      <c r="L54" s="59">
        <f>L46</f>
        <v/>
      </c>
      <c r="M54" s="59">
        <f>M46</f>
        <v/>
      </c>
      <c r="N54" s="59">
        <f>N46</f>
        <v/>
      </c>
      <c r="O54" s="58">
        <f>SUM(C54:F54)</f>
        <v/>
      </c>
      <c r="P54" s="58">
        <f>SUM(G54:J54)</f>
        <v/>
      </c>
      <c r="Q54" s="58">
        <f>SUM(K54:N54)</f>
        <v/>
      </c>
    </row>
    <row r="55" ht="15" customHeight="1" s="39">
      <c r="A55" s="66" t="inlineStr">
        <is>
          <t>売上合計</t>
        </is>
      </c>
      <c r="B55" s="67" t="inlineStr">
        <is>
          <t>円</t>
        </is>
      </c>
      <c r="C55" s="68">
        <f>C53+C46</f>
        <v/>
      </c>
      <c r="D55" s="68">
        <f>D53+D46</f>
        <v/>
      </c>
      <c r="E55" s="68">
        <f>E53+E46</f>
        <v/>
      </c>
      <c r="F55" s="68">
        <f>F53+F46</f>
        <v/>
      </c>
      <c r="G55" s="68">
        <f>G53+G46</f>
        <v/>
      </c>
      <c r="H55" s="68">
        <f>H53+H46</f>
        <v/>
      </c>
      <c r="I55" s="68">
        <f>I53+I46</f>
        <v/>
      </c>
      <c r="J55" s="68">
        <f>J53+J46</f>
        <v/>
      </c>
      <c r="K55" s="68">
        <f>K53+K46</f>
        <v/>
      </c>
      <c r="L55" s="68">
        <f>L53+L46</f>
        <v/>
      </c>
      <c r="M55" s="68">
        <f>M53+M46</f>
        <v/>
      </c>
      <c r="N55" s="68">
        <f>N53+N46</f>
        <v/>
      </c>
      <c r="O55" s="68">
        <f>SUM(C55:F55)</f>
        <v/>
      </c>
      <c r="P55" s="68">
        <f>SUM(G55:J55)</f>
        <v/>
      </c>
      <c r="Q55" s="68">
        <f>SUM(K55:N55)</f>
        <v/>
      </c>
    </row>
    <row r="56" ht="15" customHeight="1" s="39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</row>
    <row r="57" ht="15" customHeight="1" s="39">
      <c r="A57" s="40" t="inlineStr">
        <is>
          <t>【コスト】</t>
        </is>
      </c>
    </row>
    <row r="58" ht="15" customHeight="1" s="39">
      <c r="A58" s="41" t="inlineStr">
        <is>
          <t>エンジニア（固定）</t>
        </is>
      </c>
      <c r="B58" s="45" t="inlineStr">
        <is>
          <t>円</t>
        </is>
      </c>
      <c r="C58" s="59">
        <f>B18*3</f>
        <v/>
      </c>
      <c r="D58" s="59">
        <f>B18*3</f>
        <v/>
      </c>
      <c r="E58" s="59">
        <f>B18*3</f>
        <v/>
      </c>
      <c r="F58" s="59">
        <f>B18*3</f>
        <v/>
      </c>
      <c r="G58" s="59">
        <f>B18*3</f>
        <v/>
      </c>
      <c r="H58" s="59">
        <f>B18*3</f>
        <v/>
      </c>
      <c r="I58" s="59">
        <f>B18*3</f>
        <v/>
      </c>
      <c r="J58" s="59">
        <f>B18*3</f>
        <v/>
      </c>
      <c r="K58" s="59">
        <f>B18*3</f>
        <v/>
      </c>
      <c r="L58" s="59">
        <f>B18*3</f>
        <v/>
      </c>
      <c r="M58" s="59">
        <f>B18*3</f>
        <v/>
      </c>
      <c r="N58" s="59">
        <f>B18*3</f>
        <v/>
      </c>
      <c r="O58" s="58">
        <f>SUM(C58:F58)</f>
        <v/>
      </c>
      <c r="P58" s="58">
        <f>SUM(G58:J58)</f>
        <v/>
      </c>
      <c r="Q58" s="58">
        <f>SUM(K58:N58)</f>
        <v/>
      </c>
    </row>
    <row r="59" ht="15" customHeight="1" s="39">
      <c r="A59" s="41" t="inlineStr">
        <is>
          <t>インフラ</t>
        </is>
      </c>
      <c r="B59" s="45" t="inlineStr">
        <is>
          <t>円</t>
        </is>
      </c>
      <c r="C59" s="57" t="n">
        <v>5000</v>
      </c>
      <c r="D59" s="57" t="n">
        <v>5000</v>
      </c>
      <c r="E59" s="57" t="n">
        <v>8000</v>
      </c>
      <c r="F59" s="57" t="n">
        <v>10000</v>
      </c>
      <c r="G59" s="57" t="n">
        <v>15000</v>
      </c>
      <c r="H59" s="57" t="n">
        <v>20000</v>
      </c>
      <c r="I59" s="57" t="n">
        <v>28000</v>
      </c>
      <c r="J59" s="57" t="n">
        <v>35000</v>
      </c>
      <c r="K59" s="57" t="n">
        <v>50000</v>
      </c>
      <c r="L59" s="57" t="n">
        <v>65000</v>
      </c>
      <c r="M59" s="57" t="n">
        <v>80000</v>
      </c>
      <c r="N59" s="57" t="n">
        <v>100000</v>
      </c>
      <c r="O59" s="58">
        <f>SUM(C59:F59)</f>
        <v/>
      </c>
      <c r="P59" s="58">
        <f>SUM(G59:J59)</f>
        <v/>
      </c>
      <c r="Q59" s="58">
        <f>SUM(K59:N59)</f>
        <v/>
      </c>
    </row>
    <row r="60" ht="15" customHeight="1" s="39">
      <c r="A60" s="43" t="inlineStr">
        <is>
          <t>Claude API</t>
        </is>
      </c>
      <c r="B60" s="45" t="inlineStr">
        <is>
          <t>円</t>
        </is>
      </c>
      <c r="C60" s="57" t="n">
        <v>3000</v>
      </c>
      <c r="D60" s="57" t="n">
        <v>6000</v>
      </c>
      <c r="E60" s="57" t="n">
        <v>12000</v>
      </c>
      <c r="F60" s="57" t="n">
        <v>18000</v>
      </c>
      <c r="G60" s="57" t="n">
        <v>30000</v>
      </c>
      <c r="H60" s="57" t="n">
        <v>45000</v>
      </c>
      <c r="I60" s="57" t="n">
        <v>65000</v>
      </c>
      <c r="J60" s="57" t="n">
        <v>85000</v>
      </c>
      <c r="K60" s="57" t="n">
        <v>120000</v>
      </c>
      <c r="L60" s="57" t="n">
        <v>170000</v>
      </c>
      <c r="M60" s="57" t="n">
        <v>230000</v>
      </c>
      <c r="N60" s="57" t="n">
        <v>300000</v>
      </c>
      <c r="O60" s="58">
        <f>SUM(C60:F60)</f>
        <v/>
      </c>
      <c r="P60" s="58">
        <f>SUM(G60:J60)</f>
        <v/>
      </c>
      <c r="Q60" s="58">
        <f>SUM(K60:N60)</f>
        <v/>
      </c>
    </row>
    <row r="61" ht="15" customHeight="1" s="39">
      <c r="A61" s="43" t="inlineStr">
        <is>
          <t>SaaSツール</t>
        </is>
      </c>
      <c r="B61" s="45" t="inlineStr">
        <is>
          <t>円</t>
        </is>
      </c>
      <c r="C61" s="57" t="n">
        <v>8000</v>
      </c>
      <c r="D61" s="57" t="n">
        <v>8000</v>
      </c>
      <c r="E61" s="57" t="n">
        <v>10000</v>
      </c>
      <c r="F61" s="57" t="n">
        <v>10000</v>
      </c>
      <c r="G61" s="57" t="n">
        <v>12000</v>
      </c>
      <c r="H61" s="57" t="n">
        <v>12000</v>
      </c>
      <c r="I61" s="57" t="n">
        <v>15000</v>
      </c>
      <c r="J61" s="57" t="n">
        <v>15000</v>
      </c>
      <c r="K61" s="57" t="n">
        <v>18000</v>
      </c>
      <c r="L61" s="57" t="n">
        <v>18000</v>
      </c>
      <c r="M61" s="57" t="n">
        <v>20000</v>
      </c>
      <c r="N61" s="57" t="n">
        <v>20000</v>
      </c>
      <c r="O61" s="58">
        <f>SUM(C61:F61)</f>
        <v/>
      </c>
      <c r="P61" s="58">
        <f>SUM(G61:J61)</f>
        <v/>
      </c>
      <c r="Q61" s="58">
        <f>SUM(K61:N61)</f>
        <v/>
      </c>
    </row>
    <row r="62" ht="15" customHeight="1" s="39">
      <c r="A62" s="41" t="inlineStr">
        <is>
          <t>マーケティング</t>
        </is>
      </c>
      <c r="B62" s="45" t="inlineStr">
        <is>
          <t>円</t>
        </is>
      </c>
      <c r="C62" s="57" t="n">
        <v>0</v>
      </c>
      <c r="D62" s="57" t="n">
        <v>0</v>
      </c>
      <c r="E62" s="57" t="n">
        <v>10000</v>
      </c>
      <c r="F62" s="57" t="n">
        <v>15000</v>
      </c>
      <c r="G62" s="57" t="n">
        <v>20000</v>
      </c>
      <c r="H62" s="57" t="n">
        <v>30000</v>
      </c>
      <c r="I62" s="57" t="n">
        <v>40000</v>
      </c>
      <c r="J62" s="57" t="n">
        <v>50000</v>
      </c>
      <c r="K62" s="57" t="n">
        <v>80000</v>
      </c>
      <c r="L62" s="57" t="n">
        <v>100000</v>
      </c>
      <c r="M62" s="57" t="n">
        <v>130000</v>
      </c>
      <c r="N62" s="57" t="n">
        <v>160000</v>
      </c>
      <c r="O62" s="58">
        <f>SUM(C62:F62)</f>
        <v/>
      </c>
      <c r="P62" s="58">
        <f>SUM(G62:J62)</f>
        <v/>
      </c>
      <c r="Q62" s="58">
        <f>SUM(K62:N62)</f>
        <v/>
      </c>
    </row>
    <row r="63" ht="15" customHeight="1" s="39">
      <c r="A63" s="43" t="inlineStr">
        <is>
          <t>Stripe手数料 4.3%</t>
        </is>
      </c>
      <c r="B63" s="45" t="inlineStr">
        <is>
          <t>円</t>
        </is>
      </c>
      <c r="C63" s="59">
        <f>ROUND(C55*0.043,0)</f>
        <v/>
      </c>
      <c r="D63" s="59">
        <f>ROUND(D55*0.043,0)</f>
        <v/>
      </c>
      <c r="E63" s="59">
        <f>ROUND(E55*0.043,0)</f>
        <v/>
      </c>
      <c r="F63" s="59">
        <f>ROUND(F55*0.043,0)</f>
        <v/>
      </c>
      <c r="G63" s="59">
        <f>ROUND(G55*0.043,0)</f>
        <v/>
      </c>
      <c r="H63" s="59">
        <f>ROUND(H55*0.043,0)</f>
        <v/>
      </c>
      <c r="I63" s="59">
        <f>ROUND(I55*0.043,0)</f>
        <v/>
      </c>
      <c r="J63" s="59">
        <f>ROUND(J55*0.043,0)</f>
        <v/>
      </c>
      <c r="K63" s="59">
        <f>ROUND(K55*0.043,0)</f>
        <v/>
      </c>
      <c r="L63" s="59">
        <f>ROUND(L55*0.043,0)</f>
        <v/>
      </c>
      <c r="M63" s="59">
        <f>ROUND(M55*0.043,0)</f>
        <v/>
      </c>
      <c r="N63" s="59">
        <f>ROUND(N55*0.043,0)</f>
        <v/>
      </c>
      <c r="O63" s="58">
        <f>SUM(C63:F63)</f>
        <v/>
      </c>
      <c r="P63" s="58">
        <f>SUM(G63:J63)</f>
        <v/>
      </c>
      <c r="Q63" s="58">
        <f>SUM(K63:N63)</f>
        <v/>
      </c>
    </row>
    <row r="64" ht="15" customHeight="1" s="39">
      <c r="A64" s="41" t="inlineStr">
        <is>
          <t>ローカライズ</t>
        </is>
      </c>
      <c r="B64" s="45" t="inlineStr">
        <is>
          <t>円</t>
        </is>
      </c>
      <c r="C64" s="57" t="n">
        <v>0</v>
      </c>
      <c r="D64" s="57" t="n">
        <v>0</v>
      </c>
      <c r="E64" s="57" t="n">
        <v>0</v>
      </c>
      <c r="F64" s="57" t="n">
        <v>0</v>
      </c>
      <c r="G64" s="57" t="n">
        <v>50000</v>
      </c>
      <c r="H64" s="57" t="n">
        <v>0</v>
      </c>
      <c r="I64" s="57" t="n">
        <v>30000</v>
      </c>
      <c r="J64" s="57" t="n">
        <v>0</v>
      </c>
      <c r="K64" s="57" t="n">
        <v>150000</v>
      </c>
      <c r="L64" s="57" t="n">
        <v>30000</v>
      </c>
      <c r="M64" s="57" t="n">
        <v>50000</v>
      </c>
      <c r="N64" s="57" t="n">
        <v>30000</v>
      </c>
      <c r="O64" s="58">
        <f>SUM(C64:F64)</f>
        <v/>
      </c>
      <c r="P64" s="58">
        <f>SUM(G64:J64)</f>
        <v/>
      </c>
      <c r="Q64" s="58">
        <f>SUM(K64:N64)</f>
        <v/>
      </c>
    </row>
    <row r="65" ht="15" customHeight="1" s="39">
      <c r="A65" s="66" t="inlineStr">
        <is>
          <t>コスト合計</t>
        </is>
      </c>
      <c r="B65" s="67" t="inlineStr">
        <is>
          <t>円</t>
        </is>
      </c>
      <c r="C65" s="68">
        <f>C58+C59+C60+C61+C62+C63+C64</f>
        <v/>
      </c>
      <c r="D65" s="68">
        <f>D58+D59+D60+D61+D62+D63+D64</f>
        <v/>
      </c>
      <c r="E65" s="68">
        <f>E58+E59+E60+E61+E62+E63+E64</f>
        <v/>
      </c>
      <c r="F65" s="68">
        <f>F58+F59+F60+F61+F62+F63+F64</f>
        <v/>
      </c>
      <c r="G65" s="68">
        <f>G58+G59+G60+G61+G62+G63+G64</f>
        <v/>
      </c>
      <c r="H65" s="68">
        <f>H58+H59+H60+H61+H62+H63+H64</f>
        <v/>
      </c>
      <c r="I65" s="68">
        <f>I58+I59+I60+I61+I62+I63+I64</f>
        <v/>
      </c>
      <c r="J65" s="68">
        <f>J58+J59+J60+J61+J62+J63+J64</f>
        <v/>
      </c>
      <c r="K65" s="68">
        <f>K58+K59+K60+K61+K62+K63+K64</f>
        <v/>
      </c>
      <c r="L65" s="68">
        <f>L58+L59+L60+L61+L62+L63+L64</f>
        <v/>
      </c>
      <c r="M65" s="68">
        <f>M58+M59+M60+M61+M62+M63+M64</f>
        <v/>
      </c>
      <c r="N65" s="68">
        <f>N58+N59+N60+N61+N62+N63+N64</f>
        <v/>
      </c>
      <c r="O65" s="68">
        <f>SUM(C65:F65)</f>
        <v/>
      </c>
      <c r="P65" s="68">
        <f>SUM(G65:J65)</f>
        <v/>
      </c>
      <c r="Q65" s="68">
        <f>SUM(K65:N65)</f>
        <v/>
      </c>
    </row>
    <row r="66" ht="15" customHeight="1" s="39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</row>
    <row r="67" ht="15" customHeight="1" s="39">
      <c r="A67" s="40" t="inlineStr">
        <is>
          <t>【損益】</t>
        </is>
      </c>
    </row>
    <row r="68" ht="15" customHeight="1" s="39">
      <c r="A68" s="70" t="inlineStr">
        <is>
          <t>営業損益（四半期）</t>
        </is>
      </c>
      <c r="B68" s="71" t="inlineStr">
        <is>
          <t>円</t>
        </is>
      </c>
      <c r="C68" s="72">
        <f>C55-C65</f>
        <v/>
      </c>
      <c r="D68" s="72">
        <f>D55-D65</f>
        <v/>
      </c>
      <c r="E68" s="72">
        <f>E55-E65</f>
        <v/>
      </c>
      <c r="F68" s="72">
        <f>F55-F65</f>
        <v/>
      </c>
      <c r="G68" s="72">
        <f>G55-G65</f>
        <v/>
      </c>
      <c r="H68" s="72">
        <f>H55-H65</f>
        <v/>
      </c>
      <c r="I68" s="72">
        <f>I55-I65</f>
        <v/>
      </c>
      <c r="J68" s="72">
        <f>J55-J65</f>
        <v/>
      </c>
      <c r="K68" s="72">
        <f>K55-K65</f>
        <v/>
      </c>
      <c r="L68" s="72">
        <f>L55-L65</f>
        <v/>
      </c>
      <c r="M68" s="72">
        <f>M55-M65</f>
        <v/>
      </c>
      <c r="N68" s="72">
        <f>N55-N65</f>
        <v/>
      </c>
      <c r="O68" s="72">
        <f>SUM(C68:F68)</f>
        <v/>
      </c>
      <c r="P68" s="72">
        <f>SUM(G68:J68)</f>
        <v/>
      </c>
      <c r="Q68" s="72">
        <f>SUM(K68:N68)</f>
        <v/>
      </c>
    </row>
    <row r="69" ht="15" customHeight="1" s="39">
      <c r="A69" s="44" t="inlineStr">
        <is>
          <t>累計損益</t>
        </is>
      </c>
      <c r="B69" s="45" t="inlineStr">
        <is>
          <t>円</t>
        </is>
      </c>
      <c r="C69" s="73">
        <f>C68</f>
        <v/>
      </c>
      <c r="D69" s="73">
        <f>C69+D68</f>
        <v/>
      </c>
      <c r="E69" s="73">
        <f>D69+E68</f>
        <v/>
      </c>
      <c r="F69" s="73">
        <f>E69+F68</f>
        <v/>
      </c>
      <c r="G69" s="73">
        <f>F69+G68</f>
        <v/>
      </c>
      <c r="H69" s="73">
        <f>G69+H68</f>
        <v/>
      </c>
      <c r="I69" s="73">
        <f>H69+I68</f>
        <v/>
      </c>
      <c r="J69" s="73">
        <f>I69+J68</f>
        <v/>
      </c>
      <c r="K69" s="73">
        <f>J69+K68</f>
        <v/>
      </c>
      <c r="L69" s="73">
        <f>K69+L68</f>
        <v/>
      </c>
      <c r="M69" s="73">
        <f>L69+M68</f>
        <v/>
      </c>
      <c r="N69" s="73">
        <f>M69+N68</f>
        <v/>
      </c>
      <c r="O69" s="73">
        <f>F69</f>
        <v/>
      </c>
      <c r="P69" s="73">
        <f>J69</f>
        <v/>
      </c>
      <c r="Q69" s="73">
        <f>N69</f>
        <v/>
      </c>
    </row>
  </sheetData>
  <mergeCells count="3">
    <mergeCell ref="C22:F22"/>
    <mergeCell ref="G22:J22"/>
    <mergeCell ref="K22:N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8" min="1" max="1"/>
    <col width="10" customWidth="1" style="38" min="2" max="2"/>
    <col width="12" customWidth="1" style="38" min="3" max="19"/>
  </cols>
  <sheetData>
    <row r="1" ht="21.6" customHeight="1" s="39">
      <c r="A1" s="47" t="inlineStr">
        <is>
          <t>Chronos — 楽観シナリオ</t>
        </is>
      </c>
    </row>
    <row r="2" ht="15" customHeight="1" s="39">
      <c r="A2" s="42" t="inlineStr">
        <is>
          <t>SNSバズ・メディア掲載あり</t>
        </is>
      </c>
    </row>
    <row r="4" ht="15" customHeight="1" s="39">
      <c r="A4" s="48" t="inlineStr">
        <is>
          <t>■ 前提条件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</row>
    <row r="5" ht="15" customHeight="1" s="39">
      <c r="A5" s="43" t="inlineStr">
        <is>
          <t>Pro月額 国内</t>
        </is>
      </c>
      <c r="B5" s="50" t="n">
        <v>800</v>
      </c>
    </row>
    <row r="6" ht="15" customHeight="1" s="39">
      <c r="A6" s="43" t="inlineStr">
        <is>
          <t>Pro月額 英語圏</t>
        </is>
      </c>
      <c r="B6" s="50" t="n">
        <v>1200</v>
      </c>
    </row>
    <row r="7" ht="15" customHeight="1" s="39">
      <c r="A7" s="43" t="inlineStr">
        <is>
          <t>Pro月額 欧州DE/ES</t>
        </is>
      </c>
      <c r="B7" s="50" t="n">
        <v>1200</v>
      </c>
    </row>
    <row r="8" ht="15" customHeight="1" s="39">
      <c r="A8" s="43" t="inlineStr">
        <is>
          <t>Pro月額 韓国</t>
        </is>
      </c>
      <c r="B8" s="50" t="n">
        <v>900</v>
      </c>
    </row>
    <row r="9" ht="15" customHeight="1" s="39">
      <c r="A9" s="43" t="inlineStr">
        <is>
          <t>Pro月額 台湾</t>
        </is>
      </c>
      <c r="B9" s="50" t="n">
        <v>750</v>
      </c>
    </row>
    <row r="10" ht="15" customHeight="1" s="39">
      <c r="A10" s="43" t="inlineStr">
        <is>
          <t>Business年額</t>
        </is>
      </c>
      <c r="B10" s="50" t="n">
        <v>60000</v>
      </c>
    </row>
    <row r="11" ht="15" customHeight="1" s="39">
      <c r="A11" s="41" t="inlineStr">
        <is>
          <t>転換率 国内</t>
        </is>
      </c>
      <c r="B11" s="51" t="n">
        <v>0.04</v>
      </c>
    </row>
    <row r="12" ht="15" customHeight="1" s="39">
      <c r="A12" s="41" t="inlineStr">
        <is>
          <t>転換率 英語圏</t>
        </is>
      </c>
      <c r="B12" s="51" t="n">
        <v>0.06</v>
      </c>
    </row>
    <row r="13" ht="15" customHeight="1" s="39">
      <c r="A13" s="41" t="inlineStr">
        <is>
          <t>転換率 欧州DE/ES</t>
        </is>
      </c>
      <c r="B13" s="51" t="n">
        <v>0.05</v>
      </c>
    </row>
    <row r="14" ht="15" customHeight="1" s="39">
      <c r="A14" s="41" t="inlineStr">
        <is>
          <t>転換率 韓国</t>
        </is>
      </c>
      <c r="B14" s="51" t="n">
        <v>0.05</v>
      </c>
    </row>
    <row r="15" ht="15" customHeight="1" s="39">
      <c r="A15" s="41" t="inlineStr">
        <is>
          <t>転換率 台湾</t>
        </is>
      </c>
      <c r="B15" s="51" t="n">
        <v>0.04</v>
      </c>
    </row>
    <row r="16" ht="15" customHeight="1" s="39">
      <c r="A16" s="41" t="inlineStr">
        <is>
          <t>月次解約率（Pro）</t>
        </is>
      </c>
      <c r="B16" s="51" t="n">
        <v>0.04</v>
      </c>
    </row>
    <row r="17" ht="15" customHeight="1" s="39">
      <c r="A17" s="41" t="inlineStr">
        <is>
          <t>四半期解約率（Business）</t>
        </is>
      </c>
      <c r="B17" s="51" t="n">
        <v>0.02</v>
      </c>
    </row>
    <row r="18" ht="15" customHeight="1" s="39">
      <c r="A18" s="41" t="inlineStr">
        <is>
          <t>エンジニア月額</t>
        </is>
      </c>
      <c r="B18" s="50" t="n">
        <v>200000</v>
      </c>
    </row>
    <row r="21" ht="15" customHeight="1" s="39">
      <c r="A21" s="48" t="inlineStr">
        <is>
          <t>■ 四半期別収支</t>
        </is>
      </c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</row>
    <row r="22" ht="15" customHeight="1" s="39">
      <c r="C22" s="52" t="inlineStr">
        <is>
          <t>Year 1</t>
        </is>
      </c>
      <c r="G22" s="52" t="inlineStr">
        <is>
          <t>Year 2</t>
        </is>
      </c>
      <c r="K22" s="52" t="inlineStr">
        <is>
          <t>Year 3</t>
        </is>
      </c>
    </row>
    <row r="23" ht="15" customHeight="1" s="39">
      <c r="A23" s="53" t="n"/>
      <c r="B23" s="54" t="inlineStr">
        <is>
          <t>単位</t>
        </is>
      </c>
      <c r="C23" s="55" t="inlineStr">
        <is>
          <t>Y1Q1</t>
        </is>
      </c>
      <c r="D23" s="55" t="inlineStr">
        <is>
          <t>Y1Q2</t>
        </is>
      </c>
      <c r="E23" s="55" t="inlineStr">
        <is>
          <t>Y1Q3</t>
        </is>
      </c>
      <c r="F23" s="55" t="inlineStr">
        <is>
          <t>Y1Q4</t>
        </is>
      </c>
      <c r="G23" s="55" t="inlineStr">
        <is>
          <t>Y2Q1</t>
        </is>
      </c>
      <c r="H23" s="55" t="inlineStr">
        <is>
          <t>Y2Q2</t>
        </is>
      </c>
      <c r="I23" s="55" t="inlineStr">
        <is>
          <t>Y2Q3</t>
        </is>
      </c>
      <c r="J23" s="55" t="inlineStr">
        <is>
          <t>Y2Q4</t>
        </is>
      </c>
      <c r="K23" s="55" t="inlineStr">
        <is>
          <t>Y3Q1</t>
        </is>
      </c>
      <c r="L23" s="55" t="inlineStr">
        <is>
          <t>Y3Q2</t>
        </is>
      </c>
      <c r="M23" s="55" t="inlineStr">
        <is>
          <t>Y3Q3</t>
        </is>
      </c>
      <c r="N23" s="55" t="inlineStr">
        <is>
          <t>Y3Q4</t>
        </is>
      </c>
      <c r="O23" s="56" t="inlineStr">
        <is>
          <t>Y1計</t>
        </is>
      </c>
      <c r="P23" s="56" t="inlineStr">
        <is>
          <t>Y2計</t>
        </is>
      </c>
      <c r="Q23" s="56" t="inlineStr">
        <is>
          <t>Y3計</t>
        </is>
      </c>
    </row>
    <row r="24" ht="15" customHeight="1" s="39">
      <c r="A24" s="41" t="inlineStr">
        <is>
          <t>【国内】新規登録</t>
        </is>
      </c>
      <c r="B24" s="45" t="inlineStr">
        <is>
          <t>人</t>
        </is>
      </c>
      <c r="C24" s="57" t="n">
        <v>400</v>
      </c>
      <c r="D24" s="57" t="n">
        <v>1000</v>
      </c>
      <c r="E24" s="57" t="n">
        <v>2000</v>
      </c>
      <c r="F24" s="57" t="n">
        <v>3000</v>
      </c>
      <c r="G24" s="57" t="n">
        <v>3500</v>
      </c>
      <c r="H24" s="57" t="n">
        <v>4000</v>
      </c>
      <c r="I24" s="57" t="n">
        <v>4500</v>
      </c>
      <c r="J24" s="57" t="n">
        <v>5000</v>
      </c>
      <c r="K24" s="57" t="n">
        <v>5500</v>
      </c>
      <c r="L24" s="57" t="n">
        <v>6000</v>
      </c>
      <c r="M24" s="57" t="n">
        <v>6500</v>
      </c>
      <c r="N24" s="57" t="n">
        <v>7000</v>
      </c>
      <c r="O24" s="58">
        <f>SUM(C24:F24)</f>
        <v/>
      </c>
      <c r="P24" s="58">
        <f>SUM(G24:J24)</f>
        <v/>
      </c>
      <c r="Q24" s="58">
        <f>SUM(K24:N24)</f>
        <v/>
      </c>
    </row>
    <row r="25" ht="15" customHeight="1" s="39">
      <c r="A25" s="45" t="inlineStr">
        <is>
          <t xml:space="preserve">  国内Pro</t>
        </is>
      </c>
      <c r="B25" s="45" t="inlineStr">
        <is>
          <t>人</t>
        </is>
      </c>
      <c r="C25" s="59">
        <f>ROUND(C24*B11,0)</f>
        <v/>
      </c>
      <c r="D25" s="59">
        <f>ROUND(C25*(1-B16)^3+D24*B11,0)</f>
        <v/>
      </c>
      <c r="E25" s="59">
        <f>ROUND(D25*(1-B16)^3+E24*B11,0)</f>
        <v/>
      </c>
      <c r="F25" s="59">
        <f>ROUND(E25*(1-B16)^3+F24*B11,0)</f>
        <v/>
      </c>
      <c r="G25" s="59">
        <f>ROUND(F25*(1-B16)^3+G24*B11,0)</f>
        <v/>
      </c>
      <c r="H25" s="59">
        <f>ROUND(G25*(1-B16)^3+H24*B11,0)</f>
        <v/>
      </c>
      <c r="I25" s="59">
        <f>ROUND(H25*(1-B16)^3+I24*B11,0)</f>
        <v/>
      </c>
      <c r="J25" s="59">
        <f>ROUND(I25*(1-B16)^3+J24*B11,0)</f>
        <v/>
      </c>
      <c r="K25" s="59">
        <f>ROUND(J25*(1-B16)^3+K24*B11,0)</f>
        <v/>
      </c>
      <c r="L25" s="59">
        <f>ROUND(K25*(1-B16)^3+L24*B11,0)</f>
        <v/>
      </c>
      <c r="M25" s="59">
        <f>ROUND(L25*(1-B16)^3+M24*B11,0)</f>
        <v/>
      </c>
      <c r="N25" s="59">
        <f>ROUND(M25*(1-B16)^3+N24*B11,0)</f>
        <v/>
      </c>
      <c r="O25" s="58">
        <f>F25</f>
        <v/>
      </c>
      <c r="P25" s="58">
        <f>J25</f>
        <v/>
      </c>
      <c r="Q25" s="58">
        <f>N25</f>
        <v/>
      </c>
    </row>
    <row r="26" ht="15" customHeight="1" s="39">
      <c r="A26" s="45" t="inlineStr">
        <is>
          <t xml:space="preserve">  国内Pro売上</t>
        </is>
      </c>
      <c r="B26" s="45" t="inlineStr">
        <is>
          <t>円</t>
        </is>
      </c>
      <c r="C26" s="59">
        <f>C25*B5*3</f>
        <v/>
      </c>
      <c r="D26" s="59">
        <f>D25*B5*3</f>
        <v/>
      </c>
      <c r="E26" s="59">
        <f>E25*B5*3</f>
        <v/>
      </c>
      <c r="F26" s="59">
        <f>F25*B5*3</f>
        <v/>
      </c>
      <c r="G26" s="59">
        <f>G25*B5*3</f>
        <v/>
      </c>
      <c r="H26" s="59">
        <f>H25*B5*3</f>
        <v/>
      </c>
      <c r="I26" s="59">
        <f>I25*B5*3</f>
        <v/>
      </c>
      <c r="J26" s="59">
        <f>J25*B5*3</f>
        <v/>
      </c>
      <c r="K26" s="59">
        <f>K25*B5*3</f>
        <v/>
      </c>
      <c r="L26" s="59">
        <f>L25*B5*3</f>
        <v/>
      </c>
      <c r="M26" s="59">
        <f>M25*B5*3</f>
        <v/>
      </c>
      <c r="N26" s="59">
        <f>N25*B5*3</f>
        <v/>
      </c>
      <c r="O26" s="58">
        <f>SUM(C26:F26)</f>
        <v/>
      </c>
      <c r="P26" s="58">
        <f>SUM(G26:J26)</f>
        <v/>
      </c>
      <c r="Q26" s="58">
        <f>SUM(K26:N26)</f>
        <v/>
      </c>
    </row>
    <row r="27" ht="15" customHeight="1" s="39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</row>
    <row r="28" ht="15" customHeight="1" s="39">
      <c r="A28" s="41" t="inlineStr">
        <is>
          <t>【英語圏】新規登録</t>
        </is>
      </c>
      <c r="B28" s="45" t="inlineStr">
        <is>
          <t>人</t>
        </is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800</v>
      </c>
      <c r="H28" s="57" t="n">
        <v>1500</v>
      </c>
      <c r="I28" s="57" t="n">
        <v>3000</v>
      </c>
      <c r="J28" s="57" t="n">
        <v>5000</v>
      </c>
      <c r="K28" s="57" t="n">
        <v>8000</v>
      </c>
      <c r="L28" s="57" t="n">
        <v>12000</v>
      </c>
      <c r="M28" s="57" t="n">
        <v>16000</v>
      </c>
      <c r="N28" s="57" t="n">
        <v>20000</v>
      </c>
      <c r="O28" s="58">
        <f>SUM(C28:F28)</f>
        <v/>
      </c>
      <c r="P28" s="58">
        <f>SUM(G28:J28)</f>
        <v/>
      </c>
      <c r="Q28" s="58">
        <f>SUM(K28:N28)</f>
        <v/>
      </c>
    </row>
    <row r="29" ht="15" customHeight="1" s="39">
      <c r="A29" s="45" t="inlineStr">
        <is>
          <t xml:space="preserve">  英語圏Pro</t>
        </is>
      </c>
      <c r="B29" s="45" t="inlineStr">
        <is>
          <t>人</t>
        </is>
      </c>
      <c r="C29" s="59">
        <f>ROUND(C28*B12,0)</f>
        <v/>
      </c>
      <c r="D29" s="59">
        <f>ROUND(C29*(1-B16)^3+D28*B12,0)</f>
        <v/>
      </c>
      <c r="E29" s="59">
        <f>ROUND(D29*(1-B16)^3+E28*B12,0)</f>
        <v/>
      </c>
      <c r="F29" s="59">
        <f>ROUND(E29*(1-B16)^3+F28*B12,0)</f>
        <v/>
      </c>
      <c r="G29" s="59">
        <f>ROUND(F29*(1-B16)^3+G28*B12,0)</f>
        <v/>
      </c>
      <c r="H29" s="59">
        <f>ROUND(G29*(1-B16)^3+H28*B12,0)</f>
        <v/>
      </c>
      <c r="I29" s="59">
        <f>ROUND(H29*(1-B16)^3+I28*B12,0)</f>
        <v/>
      </c>
      <c r="J29" s="59">
        <f>ROUND(I29*(1-B16)^3+J28*B12,0)</f>
        <v/>
      </c>
      <c r="K29" s="59">
        <f>ROUND(J29*(1-B16)^3+K28*B12,0)</f>
        <v/>
      </c>
      <c r="L29" s="59">
        <f>ROUND(K29*(1-B16)^3+L28*B12,0)</f>
        <v/>
      </c>
      <c r="M29" s="59">
        <f>ROUND(L29*(1-B16)^3+M28*B12,0)</f>
        <v/>
      </c>
      <c r="N29" s="59">
        <f>ROUND(M29*(1-B16)^3+N28*B12,0)</f>
        <v/>
      </c>
      <c r="O29" s="58">
        <f>F29</f>
        <v/>
      </c>
      <c r="P29" s="58">
        <f>J29</f>
        <v/>
      </c>
      <c r="Q29" s="58">
        <f>N29</f>
        <v/>
      </c>
    </row>
    <row r="30" ht="15" customHeight="1" s="39">
      <c r="A30" s="45" t="inlineStr">
        <is>
          <t xml:space="preserve">  英語圏Pro売上</t>
        </is>
      </c>
      <c r="B30" s="45" t="inlineStr">
        <is>
          <t>円</t>
        </is>
      </c>
      <c r="C30" s="59">
        <f>C29*B6*3</f>
        <v/>
      </c>
      <c r="D30" s="59">
        <f>D29*B6*3</f>
        <v/>
      </c>
      <c r="E30" s="59">
        <f>E29*B6*3</f>
        <v/>
      </c>
      <c r="F30" s="59">
        <f>F29*B6*3</f>
        <v/>
      </c>
      <c r="G30" s="59">
        <f>G29*B6*3</f>
        <v/>
      </c>
      <c r="H30" s="59">
        <f>H29*B6*3</f>
        <v/>
      </c>
      <c r="I30" s="59">
        <f>I29*B6*3</f>
        <v/>
      </c>
      <c r="J30" s="59">
        <f>J29*B6*3</f>
        <v/>
      </c>
      <c r="K30" s="59">
        <f>K29*B6*3</f>
        <v/>
      </c>
      <c r="L30" s="59">
        <f>L29*B6*3</f>
        <v/>
      </c>
      <c r="M30" s="59">
        <f>M29*B6*3</f>
        <v/>
      </c>
      <c r="N30" s="59">
        <f>N29*B6*3</f>
        <v/>
      </c>
      <c r="O30" s="58">
        <f>SUM(C30:F30)</f>
        <v/>
      </c>
      <c r="P30" s="58">
        <f>SUM(G30:J30)</f>
        <v/>
      </c>
      <c r="Q30" s="58">
        <f>SUM(K30:N30)</f>
        <v/>
      </c>
    </row>
    <row r="31" ht="15" customHeight="1" s="39">
      <c r="A31" s="60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</row>
    <row r="32" ht="15" customHeight="1" s="39">
      <c r="A32" s="41" t="inlineStr">
        <is>
          <t>【欧州DE/ES】新規登録</t>
        </is>
      </c>
      <c r="B32" s="45" t="inlineStr">
        <is>
          <t>人</t>
        </is>
      </c>
      <c r="C32" s="57" t="n">
        <v>0</v>
      </c>
      <c r="D32" s="57" t="n">
        <v>0</v>
      </c>
      <c r="E32" s="57" t="n">
        <v>0</v>
      </c>
      <c r="F32" s="57" t="n">
        <v>0</v>
      </c>
      <c r="G32" s="57" t="n">
        <v>0</v>
      </c>
      <c r="H32" s="57" t="n">
        <v>0</v>
      </c>
      <c r="I32" s="57" t="n">
        <v>0</v>
      </c>
      <c r="J32" s="57" t="n">
        <v>0</v>
      </c>
      <c r="K32" s="57" t="n">
        <v>1000</v>
      </c>
      <c r="L32" s="57" t="n">
        <v>2000</v>
      </c>
      <c r="M32" s="57" t="n">
        <v>3500</v>
      </c>
      <c r="N32" s="57" t="n">
        <v>5000</v>
      </c>
      <c r="O32" s="58">
        <f>SUM(C32:F32)</f>
        <v/>
      </c>
      <c r="P32" s="58">
        <f>SUM(G32:J32)</f>
        <v/>
      </c>
      <c r="Q32" s="58">
        <f>SUM(K32:N32)</f>
        <v/>
      </c>
    </row>
    <row r="33" ht="15" customHeight="1" s="39">
      <c r="A33" s="45" t="inlineStr">
        <is>
          <t xml:space="preserve">  欧州DE/ESPro</t>
        </is>
      </c>
      <c r="B33" s="45" t="inlineStr">
        <is>
          <t>人</t>
        </is>
      </c>
      <c r="C33" s="59">
        <f>ROUND(C32*B13,0)</f>
        <v/>
      </c>
      <c r="D33" s="59">
        <f>ROUND(C33*(1-B16)^3+D32*B13,0)</f>
        <v/>
      </c>
      <c r="E33" s="59">
        <f>ROUND(D33*(1-B16)^3+E32*B13,0)</f>
        <v/>
      </c>
      <c r="F33" s="59">
        <f>ROUND(E33*(1-B16)^3+F32*B13,0)</f>
        <v/>
      </c>
      <c r="G33" s="59">
        <f>ROUND(F33*(1-B16)^3+G32*B13,0)</f>
        <v/>
      </c>
      <c r="H33" s="59">
        <f>ROUND(G33*(1-B16)^3+H32*B13,0)</f>
        <v/>
      </c>
      <c r="I33" s="59">
        <f>ROUND(H33*(1-B16)^3+I32*B13,0)</f>
        <v/>
      </c>
      <c r="J33" s="59">
        <f>ROUND(I33*(1-B16)^3+J32*B13,0)</f>
        <v/>
      </c>
      <c r="K33" s="59">
        <f>ROUND(J33*(1-B16)^3+K32*B13,0)</f>
        <v/>
      </c>
      <c r="L33" s="59">
        <f>ROUND(K33*(1-B16)^3+L32*B13,0)</f>
        <v/>
      </c>
      <c r="M33" s="59">
        <f>ROUND(L33*(1-B16)^3+M32*B13,0)</f>
        <v/>
      </c>
      <c r="N33" s="59">
        <f>ROUND(M33*(1-B16)^3+N32*B13,0)</f>
        <v/>
      </c>
      <c r="O33" s="58">
        <f>F33</f>
        <v/>
      </c>
      <c r="P33" s="58">
        <f>J33</f>
        <v/>
      </c>
      <c r="Q33" s="58">
        <f>N33</f>
        <v/>
      </c>
    </row>
    <row r="34" ht="15" customHeight="1" s="39">
      <c r="A34" s="45" t="inlineStr">
        <is>
          <t xml:space="preserve">  欧州DE/ESPro売上</t>
        </is>
      </c>
      <c r="B34" s="45" t="inlineStr">
        <is>
          <t>円</t>
        </is>
      </c>
      <c r="C34" s="59">
        <f>C33*B7*3</f>
        <v/>
      </c>
      <c r="D34" s="59">
        <f>D33*B7*3</f>
        <v/>
      </c>
      <c r="E34" s="59">
        <f>E33*B7*3</f>
        <v/>
      </c>
      <c r="F34" s="59">
        <f>F33*B7*3</f>
        <v/>
      </c>
      <c r="G34" s="59">
        <f>G33*B7*3</f>
        <v/>
      </c>
      <c r="H34" s="59">
        <f>H33*B7*3</f>
        <v/>
      </c>
      <c r="I34" s="59">
        <f>I33*B7*3</f>
        <v/>
      </c>
      <c r="J34" s="59">
        <f>J33*B7*3</f>
        <v/>
      </c>
      <c r="K34" s="59">
        <f>K33*B7*3</f>
        <v/>
      </c>
      <c r="L34" s="59">
        <f>L33*B7*3</f>
        <v/>
      </c>
      <c r="M34" s="59">
        <f>M33*B7*3</f>
        <v/>
      </c>
      <c r="N34" s="59">
        <f>N33*B7*3</f>
        <v/>
      </c>
      <c r="O34" s="58">
        <f>SUM(C34:F34)</f>
        <v/>
      </c>
      <c r="P34" s="58">
        <f>SUM(G34:J34)</f>
        <v/>
      </c>
      <c r="Q34" s="58">
        <f>SUM(K34:N34)</f>
        <v/>
      </c>
    </row>
    <row r="35" ht="15" customHeight="1" s="39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</row>
    <row r="36" ht="15" customHeight="1" s="39">
      <c r="A36" s="41" t="inlineStr">
        <is>
          <t>【韓国】新規登録</t>
        </is>
      </c>
      <c r="B36" s="45" t="inlineStr">
        <is>
          <t>人</t>
        </is>
      </c>
      <c r="C36" s="57" t="n">
        <v>0</v>
      </c>
      <c r="D36" s="57" t="n">
        <v>0</v>
      </c>
      <c r="E36" s="57" t="n">
        <v>0</v>
      </c>
      <c r="F36" s="57" t="n">
        <v>0</v>
      </c>
      <c r="G36" s="57" t="n">
        <v>0</v>
      </c>
      <c r="H36" s="57" t="n">
        <v>0</v>
      </c>
      <c r="I36" s="57" t="n">
        <v>0</v>
      </c>
      <c r="J36" s="57" t="n">
        <v>0</v>
      </c>
      <c r="K36" s="57" t="n">
        <v>600</v>
      </c>
      <c r="L36" s="57" t="n">
        <v>1200</v>
      </c>
      <c r="M36" s="57" t="n">
        <v>1800</v>
      </c>
      <c r="N36" s="57" t="n">
        <v>2500</v>
      </c>
      <c r="O36" s="58">
        <f>SUM(C36:F36)</f>
        <v/>
      </c>
      <c r="P36" s="58">
        <f>SUM(G36:J36)</f>
        <v/>
      </c>
      <c r="Q36" s="58">
        <f>SUM(K36:N36)</f>
        <v/>
      </c>
    </row>
    <row r="37" ht="15" customHeight="1" s="39">
      <c r="A37" s="45" t="inlineStr">
        <is>
          <t xml:space="preserve">  韓国Pro</t>
        </is>
      </c>
      <c r="B37" s="45" t="inlineStr">
        <is>
          <t>人</t>
        </is>
      </c>
      <c r="C37" s="59">
        <f>ROUND(C36*B14,0)</f>
        <v/>
      </c>
      <c r="D37" s="59">
        <f>ROUND(C37*(1-B16)^3+D36*B14,0)</f>
        <v/>
      </c>
      <c r="E37" s="59">
        <f>ROUND(D37*(1-B16)^3+E36*B14,0)</f>
        <v/>
      </c>
      <c r="F37" s="59">
        <f>ROUND(E37*(1-B16)^3+F36*B14,0)</f>
        <v/>
      </c>
      <c r="G37" s="59">
        <f>ROUND(F37*(1-B16)^3+G36*B14,0)</f>
        <v/>
      </c>
      <c r="H37" s="59">
        <f>ROUND(G37*(1-B16)^3+H36*B14,0)</f>
        <v/>
      </c>
      <c r="I37" s="59">
        <f>ROUND(H37*(1-B16)^3+I36*B14,0)</f>
        <v/>
      </c>
      <c r="J37" s="59">
        <f>ROUND(I37*(1-B16)^3+J36*B14,0)</f>
        <v/>
      </c>
      <c r="K37" s="59">
        <f>ROUND(J37*(1-B16)^3+K36*B14,0)</f>
        <v/>
      </c>
      <c r="L37" s="59">
        <f>ROUND(K37*(1-B16)^3+L36*B14,0)</f>
        <v/>
      </c>
      <c r="M37" s="59">
        <f>ROUND(L37*(1-B16)^3+M36*B14,0)</f>
        <v/>
      </c>
      <c r="N37" s="59">
        <f>ROUND(M37*(1-B16)^3+N36*B14,0)</f>
        <v/>
      </c>
      <c r="O37" s="58">
        <f>F37</f>
        <v/>
      </c>
      <c r="P37" s="58">
        <f>J37</f>
        <v/>
      </c>
      <c r="Q37" s="58">
        <f>N37</f>
        <v/>
      </c>
    </row>
    <row r="38" ht="15" customHeight="1" s="39">
      <c r="A38" s="45" t="inlineStr">
        <is>
          <t xml:space="preserve">  韓国Pro売上</t>
        </is>
      </c>
      <c r="B38" s="45" t="inlineStr">
        <is>
          <t>円</t>
        </is>
      </c>
      <c r="C38" s="59">
        <f>C37*B8*3</f>
        <v/>
      </c>
      <c r="D38" s="59">
        <f>D37*B8*3</f>
        <v/>
      </c>
      <c r="E38" s="59">
        <f>E37*B8*3</f>
        <v/>
      </c>
      <c r="F38" s="59">
        <f>F37*B8*3</f>
        <v/>
      </c>
      <c r="G38" s="59">
        <f>G37*B8*3</f>
        <v/>
      </c>
      <c r="H38" s="59">
        <f>H37*B8*3</f>
        <v/>
      </c>
      <c r="I38" s="59">
        <f>I37*B8*3</f>
        <v/>
      </c>
      <c r="J38" s="59">
        <f>J37*B8*3</f>
        <v/>
      </c>
      <c r="K38" s="59">
        <f>K37*B8*3</f>
        <v/>
      </c>
      <c r="L38" s="59">
        <f>L37*B8*3</f>
        <v/>
      </c>
      <c r="M38" s="59">
        <f>M37*B8*3</f>
        <v/>
      </c>
      <c r="N38" s="59">
        <f>N37*B8*3</f>
        <v/>
      </c>
      <c r="O38" s="58">
        <f>SUM(C38:F38)</f>
        <v/>
      </c>
      <c r="P38" s="58">
        <f>SUM(G38:J38)</f>
        <v/>
      </c>
      <c r="Q38" s="58">
        <f>SUM(K38:N38)</f>
        <v/>
      </c>
    </row>
    <row r="39" ht="15" customHeight="1" s="39">
      <c r="A39" s="60" t="n"/>
      <c r="B39" s="60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</row>
    <row r="40" ht="15" customHeight="1" s="39">
      <c r="A40" s="41" t="inlineStr">
        <is>
          <t>【台湾】新規登録</t>
        </is>
      </c>
      <c r="B40" s="45" t="inlineStr">
        <is>
          <t>人</t>
        </is>
      </c>
      <c r="C40" s="57" t="n">
        <v>0</v>
      </c>
      <c r="D40" s="57" t="n">
        <v>0</v>
      </c>
      <c r="E40" s="57" t="n">
        <v>0</v>
      </c>
      <c r="F40" s="57" t="n">
        <v>0</v>
      </c>
      <c r="G40" s="57" t="n">
        <v>0</v>
      </c>
      <c r="H40" s="57" t="n">
        <v>0</v>
      </c>
      <c r="I40" s="57" t="n">
        <v>0</v>
      </c>
      <c r="J40" s="57" t="n">
        <v>0</v>
      </c>
      <c r="K40" s="57" t="n">
        <v>300</v>
      </c>
      <c r="L40" s="57" t="n">
        <v>600</v>
      </c>
      <c r="M40" s="57" t="n">
        <v>1000</v>
      </c>
      <c r="N40" s="57" t="n">
        <v>1500</v>
      </c>
      <c r="O40" s="58">
        <f>SUM(C40:F40)</f>
        <v/>
      </c>
      <c r="P40" s="58">
        <f>SUM(G40:J40)</f>
        <v/>
      </c>
      <c r="Q40" s="58">
        <f>SUM(K40:N40)</f>
        <v/>
      </c>
    </row>
    <row r="41" ht="15" customHeight="1" s="39">
      <c r="A41" s="45" t="inlineStr">
        <is>
          <t xml:space="preserve">  台湾Pro</t>
        </is>
      </c>
      <c r="B41" s="45" t="inlineStr">
        <is>
          <t>人</t>
        </is>
      </c>
      <c r="C41" s="59">
        <f>ROUND(C40*B15,0)</f>
        <v/>
      </c>
      <c r="D41" s="59">
        <f>ROUND(C41*(1-B16)^3+D40*B15,0)</f>
        <v/>
      </c>
      <c r="E41" s="59">
        <f>ROUND(D41*(1-B16)^3+E40*B15,0)</f>
        <v/>
      </c>
      <c r="F41" s="59">
        <f>ROUND(E41*(1-B16)^3+F40*B15,0)</f>
        <v/>
      </c>
      <c r="G41" s="59">
        <f>ROUND(F41*(1-B16)^3+G40*B15,0)</f>
        <v/>
      </c>
      <c r="H41" s="59">
        <f>ROUND(G41*(1-B16)^3+H40*B15,0)</f>
        <v/>
      </c>
      <c r="I41" s="59">
        <f>ROUND(H41*(1-B16)^3+I40*B15,0)</f>
        <v/>
      </c>
      <c r="J41" s="59">
        <f>ROUND(I41*(1-B16)^3+J40*B15,0)</f>
        <v/>
      </c>
      <c r="K41" s="59">
        <f>ROUND(J41*(1-B16)^3+K40*B15,0)</f>
        <v/>
      </c>
      <c r="L41" s="59">
        <f>ROUND(K41*(1-B16)^3+L40*B15,0)</f>
        <v/>
      </c>
      <c r="M41" s="59">
        <f>ROUND(L41*(1-B16)^3+M40*B15,0)</f>
        <v/>
      </c>
      <c r="N41" s="59">
        <f>ROUND(M41*(1-B16)^3+N40*B15,0)</f>
        <v/>
      </c>
      <c r="O41" s="58">
        <f>F41</f>
        <v/>
      </c>
      <c r="P41" s="58">
        <f>J41</f>
        <v/>
      </c>
      <c r="Q41" s="58">
        <f>N41</f>
        <v/>
      </c>
    </row>
    <row r="42" ht="15" customHeight="1" s="39">
      <c r="A42" s="45" t="inlineStr">
        <is>
          <t xml:space="preserve">  台湾Pro売上</t>
        </is>
      </c>
      <c r="B42" s="45" t="inlineStr">
        <is>
          <t>円</t>
        </is>
      </c>
      <c r="C42" s="59">
        <f>C41*B9*3</f>
        <v/>
      </c>
      <c r="D42" s="59">
        <f>D41*B9*3</f>
        <v/>
      </c>
      <c r="E42" s="59">
        <f>E41*B9*3</f>
        <v/>
      </c>
      <c r="F42" s="59">
        <f>F41*B9*3</f>
        <v/>
      </c>
      <c r="G42" s="59">
        <f>G41*B9*3</f>
        <v/>
      </c>
      <c r="H42" s="59">
        <f>H41*B9*3</f>
        <v/>
      </c>
      <c r="I42" s="59">
        <f>I41*B9*3</f>
        <v/>
      </c>
      <c r="J42" s="59">
        <f>J41*B9*3</f>
        <v/>
      </c>
      <c r="K42" s="59">
        <f>K41*B9*3</f>
        <v/>
      </c>
      <c r="L42" s="59">
        <f>L41*B9*3</f>
        <v/>
      </c>
      <c r="M42" s="59">
        <f>M41*B9*3</f>
        <v/>
      </c>
      <c r="N42" s="59">
        <f>N41*B9*3</f>
        <v/>
      </c>
      <c r="O42" s="58">
        <f>SUM(C42:F42)</f>
        <v/>
      </c>
      <c r="P42" s="58">
        <f>SUM(G42:J42)</f>
        <v/>
      </c>
      <c r="Q42" s="58">
        <f>SUM(K42:N42)</f>
        <v/>
      </c>
    </row>
    <row r="43" ht="15" customHeight="1" s="39">
      <c r="A43" s="60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</row>
    <row r="44" ht="15" customHeight="1" s="39">
      <c r="A44" s="41" t="inlineStr">
        <is>
          <t>【Business】新規契約（四半期）</t>
        </is>
      </c>
      <c r="B44" s="45" t="inlineStr">
        <is>
          <t>社</t>
        </is>
      </c>
      <c r="C44" s="57" t="n">
        <v>0</v>
      </c>
      <c r="D44" s="57" t="n">
        <v>0</v>
      </c>
      <c r="E44" s="57" t="n">
        <v>0</v>
      </c>
      <c r="F44" s="57" t="n">
        <v>0</v>
      </c>
      <c r="G44" s="57" t="n">
        <v>0</v>
      </c>
      <c r="H44" s="57" t="n">
        <v>0</v>
      </c>
      <c r="I44" s="57" t="n">
        <v>0</v>
      </c>
      <c r="J44" s="57" t="n">
        <v>0</v>
      </c>
      <c r="K44" s="57" t="n">
        <v>8</v>
      </c>
      <c r="L44" s="57" t="n">
        <v>15</v>
      </c>
      <c r="M44" s="57" t="n">
        <v>25</v>
      </c>
      <c r="N44" s="57" t="n">
        <v>35</v>
      </c>
      <c r="O44" s="58">
        <f>SUM(C44:F44)</f>
        <v/>
      </c>
      <c r="P44" s="58">
        <f>SUM(G44:J44)</f>
        <v/>
      </c>
      <c r="Q44" s="58">
        <f>SUM(K44:N44)</f>
        <v/>
      </c>
    </row>
    <row r="45" ht="15" customHeight="1" s="39">
      <c r="A45" s="42" t="inlineStr">
        <is>
          <t xml:space="preserve">  Business契約社数</t>
        </is>
      </c>
      <c r="B45" s="45" t="inlineStr">
        <is>
          <t>社</t>
        </is>
      </c>
      <c r="C45" s="59">
        <f>C44</f>
        <v/>
      </c>
      <c r="D45" s="59">
        <f>ROUND(C45*(1-B17)+D44,0)</f>
        <v/>
      </c>
      <c r="E45" s="59">
        <f>ROUND(D45*(1-B17)+E44,0)</f>
        <v/>
      </c>
      <c r="F45" s="59">
        <f>ROUND(E45*(1-B17)+F44,0)</f>
        <v/>
      </c>
      <c r="G45" s="59">
        <f>ROUND(F45*(1-B17)+G44,0)</f>
        <v/>
      </c>
      <c r="H45" s="59">
        <f>ROUND(G45*(1-B17)+H44,0)</f>
        <v/>
      </c>
      <c r="I45" s="59">
        <f>ROUND(H45*(1-B17)+I44,0)</f>
        <v/>
      </c>
      <c r="J45" s="59">
        <f>ROUND(I45*(1-B17)+J44,0)</f>
        <v/>
      </c>
      <c r="K45" s="59">
        <f>ROUND(J45*(1-B17)+K44,0)</f>
        <v/>
      </c>
      <c r="L45" s="59">
        <f>ROUND(K45*(1-B17)+L44,0)</f>
        <v/>
      </c>
      <c r="M45" s="59">
        <f>ROUND(L45*(1-B17)+M44,0)</f>
        <v/>
      </c>
      <c r="N45" s="59">
        <f>ROUND(M45*(1-B17)+N44,0)</f>
        <v/>
      </c>
      <c r="O45" s="58">
        <f>F45</f>
        <v/>
      </c>
      <c r="P45" s="58">
        <f>J45</f>
        <v/>
      </c>
      <c r="Q45" s="58">
        <f>N45</f>
        <v/>
      </c>
    </row>
    <row r="46" ht="15" customHeight="1" s="39">
      <c r="A46" s="42" t="inlineStr">
        <is>
          <t xml:space="preserve">  Business売上</t>
        </is>
      </c>
      <c r="B46" s="45" t="inlineStr">
        <is>
          <t>円</t>
        </is>
      </c>
      <c r="C46" s="59">
        <f>C45*B10/4</f>
        <v/>
      </c>
      <c r="D46" s="59">
        <f>D45*B10/4</f>
        <v/>
      </c>
      <c r="E46" s="59">
        <f>E45*B10/4</f>
        <v/>
      </c>
      <c r="F46" s="59">
        <f>F45*B10/4</f>
        <v/>
      </c>
      <c r="G46" s="59">
        <f>G45*B10/4</f>
        <v/>
      </c>
      <c r="H46" s="59">
        <f>H45*B10/4</f>
        <v/>
      </c>
      <c r="I46" s="59">
        <f>I45*B10/4</f>
        <v/>
      </c>
      <c r="J46" s="59">
        <f>J45*B10/4</f>
        <v/>
      </c>
      <c r="K46" s="59">
        <f>K45*B10/4</f>
        <v/>
      </c>
      <c r="L46" s="59">
        <f>L45*B10/4</f>
        <v/>
      </c>
      <c r="M46" s="59">
        <f>M45*B10/4</f>
        <v/>
      </c>
      <c r="N46" s="59">
        <f>N45*B10/4</f>
        <v/>
      </c>
      <c r="O46" s="58">
        <f>SUM(C46:F46)</f>
        <v/>
      </c>
      <c r="P46" s="58">
        <f>SUM(G46:J46)</f>
        <v/>
      </c>
      <c r="Q46" s="58">
        <f>SUM(K46:N46)</f>
        <v/>
      </c>
    </row>
    <row r="47" ht="15" customHeight="1" s="39">
      <c r="A47" s="60" t="n"/>
      <c r="B47" s="60" t="n"/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</row>
    <row r="48" ht="15" customHeight="1" s="39">
      <c r="A48" s="61" t="inlineStr">
        <is>
          <t>Proユーザー合計</t>
        </is>
      </c>
      <c r="B48" s="62" t="inlineStr">
        <is>
          <t>人</t>
        </is>
      </c>
      <c r="C48" s="63">
        <f>C25+C29+C33+C37+C41</f>
        <v/>
      </c>
      <c r="D48" s="63">
        <f>D25+D29+D33+D37+D41</f>
        <v/>
      </c>
      <c r="E48" s="63">
        <f>E25+E29+E33+E37+E41</f>
        <v/>
      </c>
      <c r="F48" s="63">
        <f>F25+F29+F33+F37+F41</f>
        <v/>
      </c>
      <c r="G48" s="63">
        <f>G25+G29+G33+G37+G41</f>
        <v/>
      </c>
      <c r="H48" s="63">
        <f>H25+H29+H33+H37+H41</f>
        <v/>
      </c>
      <c r="I48" s="63">
        <f>I25+I29+I33+I37+I41</f>
        <v/>
      </c>
      <c r="J48" s="63">
        <f>J25+J29+J33+J37+J41</f>
        <v/>
      </c>
      <c r="K48" s="63">
        <f>K25+K29+K33+K37+K41</f>
        <v/>
      </c>
      <c r="L48" s="63">
        <f>L25+L29+L33+L37+L41</f>
        <v/>
      </c>
      <c r="M48" s="63">
        <f>M25+M29+M33+M37+M41</f>
        <v/>
      </c>
      <c r="N48" s="63">
        <f>N25+N29+N33+N37+N41</f>
        <v/>
      </c>
      <c r="O48" s="58">
        <f>F48</f>
        <v/>
      </c>
      <c r="P48" s="58">
        <f>J48</f>
        <v/>
      </c>
      <c r="Q48" s="58">
        <f>N48</f>
        <v/>
      </c>
    </row>
    <row r="49" ht="15" customHeight="1" s="39">
      <c r="A49" s="64" t="inlineStr">
        <is>
          <t>累計登録ユーザー（全地域）</t>
        </is>
      </c>
      <c r="B49" s="62" t="inlineStr">
        <is>
          <t>人</t>
        </is>
      </c>
      <c r="C49" s="63">
        <f>C24+C28+C32+C36+C40</f>
        <v/>
      </c>
      <c r="D49" s="63">
        <f>C49+D24+D28+D32+D36+D40</f>
        <v/>
      </c>
      <c r="E49" s="63">
        <f>D49+E24+E28+E32+E36+E40</f>
        <v/>
      </c>
      <c r="F49" s="63">
        <f>E49+F24+F28+F32+F36+F40</f>
        <v/>
      </c>
      <c r="G49" s="63">
        <f>F49+G24+G28+G32+G36+G40</f>
        <v/>
      </c>
      <c r="H49" s="63">
        <f>G49+H24+H28+H32+H36+H40</f>
        <v/>
      </c>
      <c r="I49" s="63">
        <f>H49+I24+I28+I32+I36+I40</f>
        <v/>
      </c>
      <c r="J49" s="63">
        <f>I49+J24+J28+J32+J36+J40</f>
        <v/>
      </c>
      <c r="K49" s="63">
        <f>J49+K24+K28+K32+K36+K40</f>
        <v/>
      </c>
      <c r="L49" s="63">
        <f>K49+L24+L28+L32+L36+L40</f>
        <v/>
      </c>
      <c r="M49" s="63">
        <f>L49+M24+M28+M32+M36+M40</f>
        <v/>
      </c>
      <c r="N49" s="63">
        <f>M49+N24+N28+N32+N36+N40</f>
        <v/>
      </c>
      <c r="O49" s="58">
        <f>F49</f>
        <v/>
      </c>
      <c r="P49" s="58">
        <f>J49</f>
        <v/>
      </c>
      <c r="Q49" s="58">
        <f>N49</f>
        <v/>
      </c>
    </row>
    <row r="50" ht="15" customHeight="1" s="39">
      <c r="A50" s="45" t="inlineStr">
        <is>
          <t>推定MAU（累計×30%）</t>
        </is>
      </c>
      <c r="B50" s="45" t="inlineStr">
        <is>
          <t>人</t>
        </is>
      </c>
      <c r="C50" s="65">
        <f>ROUND(C49*0.3,0)</f>
        <v/>
      </c>
      <c r="D50" s="65">
        <f>ROUND(D49*0.3,0)</f>
        <v/>
      </c>
      <c r="E50" s="65">
        <f>ROUND(E49*0.3,0)</f>
        <v/>
      </c>
      <c r="F50" s="65">
        <f>ROUND(F49*0.3,0)</f>
        <v/>
      </c>
      <c r="G50" s="65">
        <f>ROUND(G49*0.3,0)</f>
        <v/>
      </c>
      <c r="H50" s="65">
        <f>ROUND(H49*0.3,0)</f>
        <v/>
      </c>
      <c r="I50" s="65">
        <f>ROUND(I49*0.3,0)</f>
        <v/>
      </c>
      <c r="J50" s="65">
        <f>ROUND(J49*0.3,0)</f>
        <v/>
      </c>
      <c r="K50" s="65">
        <f>ROUND(K49*0.3,0)</f>
        <v/>
      </c>
      <c r="L50" s="65">
        <f>ROUND(L49*0.3,0)</f>
        <v/>
      </c>
      <c r="M50" s="65">
        <f>ROUND(M49*0.3,0)</f>
        <v/>
      </c>
      <c r="N50" s="65">
        <f>ROUND(N49*0.3,0)</f>
        <v/>
      </c>
      <c r="O50" s="58">
        <f>F50</f>
        <v/>
      </c>
      <c r="P50" s="58">
        <f>J50</f>
        <v/>
      </c>
      <c r="Q50" s="58">
        <f>N50</f>
        <v/>
      </c>
    </row>
    <row r="51" ht="15" customHeight="1" s="39">
      <c r="A51" s="60" t="n"/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</row>
    <row r="52" ht="15" customHeight="1" s="39">
      <c r="A52" s="40" t="inlineStr">
        <is>
          <t>【売上】</t>
        </is>
      </c>
    </row>
    <row r="53" ht="15" customHeight="1" s="39">
      <c r="A53" s="43" t="inlineStr">
        <is>
          <t>Pro売上合計</t>
        </is>
      </c>
      <c r="B53" s="45" t="inlineStr">
        <is>
          <t>円</t>
        </is>
      </c>
      <c r="C53" s="59">
        <f>C26+C30+C34+C38+C42</f>
        <v/>
      </c>
      <c r="D53" s="59">
        <f>D26+D30+D34+D38+D42</f>
        <v/>
      </c>
      <c r="E53" s="59">
        <f>E26+E30+E34+E38+E42</f>
        <v/>
      </c>
      <c r="F53" s="59">
        <f>F26+F30+F34+F38+F42</f>
        <v/>
      </c>
      <c r="G53" s="59">
        <f>G26+G30+G34+G38+G42</f>
        <v/>
      </c>
      <c r="H53" s="59">
        <f>H26+H30+H34+H38+H42</f>
        <v/>
      </c>
      <c r="I53" s="59">
        <f>I26+I30+I34+I38+I42</f>
        <v/>
      </c>
      <c r="J53" s="59">
        <f>J26+J30+J34+J38+J42</f>
        <v/>
      </c>
      <c r="K53" s="59">
        <f>K26+K30+K34+K38+K42</f>
        <v/>
      </c>
      <c r="L53" s="59">
        <f>L26+L30+L34+L38+L42</f>
        <v/>
      </c>
      <c r="M53" s="59">
        <f>M26+M30+M34+M38+M42</f>
        <v/>
      </c>
      <c r="N53" s="59">
        <f>N26+N30+N34+N38+N42</f>
        <v/>
      </c>
      <c r="O53" s="58">
        <f>SUM(C53:F53)</f>
        <v/>
      </c>
      <c r="P53" s="58">
        <f>SUM(G53:J53)</f>
        <v/>
      </c>
      <c r="Q53" s="58">
        <f>SUM(K53:N53)</f>
        <v/>
      </c>
    </row>
    <row r="54" ht="15" customHeight="1" s="39">
      <c r="A54" s="43" t="inlineStr">
        <is>
          <t>Business売上合計</t>
        </is>
      </c>
      <c r="B54" s="45" t="inlineStr">
        <is>
          <t>円</t>
        </is>
      </c>
      <c r="C54" s="59">
        <f>C46</f>
        <v/>
      </c>
      <c r="D54" s="59">
        <f>D46</f>
        <v/>
      </c>
      <c r="E54" s="59">
        <f>E46</f>
        <v/>
      </c>
      <c r="F54" s="59">
        <f>F46</f>
        <v/>
      </c>
      <c r="G54" s="59">
        <f>G46</f>
        <v/>
      </c>
      <c r="H54" s="59">
        <f>H46</f>
        <v/>
      </c>
      <c r="I54" s="59">
        <f>I46</f>
        <v/>
      </c>
      <c r="J54" s="59">
        <f>J46</f>
        <v/>
      </c>
      <c r="K54" s="59">
        <f>K46</f>
        <v/>
      </c>
      <c r="L54" s="59">
        <f>L46</f>
        <v/>
      </c>
      <c r="M54" s="59">
        <f>M46</f>
        <v/>
      </c>
      <c r="N54" s="59">
        <f>N46</f>
        <v/>
      </c>
      <c r="O54" s="58">
        <f>SUM(C54:F54)</f>
        <v/>
      </c>
      <c r="P54" s="58">
        <f>SUM(G54:J54)</f>
        <v/>
      </c>
      <c r="Q54" s="58">
        <f>SUM(K54:N54)</f>
        <v/>
      </c>
    </row>
    <row r="55" ht="15" customHeight="1" s="39">
      <c r="A55" s="66" t="inlineStr">
        <is>
          <t>売上合計</t>
        </is>
      </c>
      <c r="B55" s="67" t="inlineStr">
        <is>
          <t>円</t>
        </is>
      </c>
      <c r="C55" s="68">
        <f>C53+C46</f>
        <v/>
      </c>
      <c r="D55" s="68">
        <f>D53+D46</f>
        <v/>
      </c>
      <c r="E55" s="68">
        <f>E53+E46</f>
        <v/>
      </c>
      <c r="F55" s="68">
        <f>F53+F46</f>
        <v/>
      </c>
      <c r="G55" s="68">
        <f>G53+G46</f>
        <v/>
      </c>
      <c r="H55" s="68">
        <f>H53+H46</f>
        <v/>
      </c>
      <c r="I55" s="68">
        <f>I53+I46</f>
        <v/>
      </c>
      <c r="J55" s="68">
        <f>J53+J46</f>
        <v/>
      </c>
      <c r="K55" s="68">
        <f>K53+K46</f>
        <v/>
      </c>
      <c r="L55" s="68">
        <f>L53+L46</f>
        <v/>
      </c>
      <c r="M55" s="68">
        <f>M53+M46</f>
        <v/>
      </c>
      <c r="N55" s="68">
        <f>N53+N46</f>
        <v/>
      </c>
      <c r="O55" s="68">
        <f>SUM(C55:F55)</f>
        <v/>
      </c>
      <c r="P55" s="68">
        <f>SUM(G55:J55)</f>
        <v/>
      </c>
      <c r="Q55" s="68">
        <f>SUM(K55:N55)</f>
        <v/>
      </c>
    </row>
    <row r="56" ht="15" customHeight="1" s="39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</row>
    <row r="57" ht="15" customHeight="1" s="39">
      <c r="A57" s="40" t="inlineStr">
        <is>
          <t>【コスト】</t>
        </is>
      </c>
    </row>
    <row r="58" ht="15" customHeight="1" s="39">
      <c r="A58" s="41" t="inlineStr">
        <is>
          <t>エンジニア（固定）</t>
        </is>
      </c>
      <c r="B58" s="45" t="inlineStr">
        <is>
          <t>円</t>
        </is>
      </c>
      <c r="C58" s="59">
        <f>B18*3</f>
        <v/>
      </c>
      <c r="D58" s="59">
        <f>B18*3</f>
        <v/>
      </c>
      <c r="E58" s="59">
        <f>B18*3</f>
        <v/>
      </c>
      <c r="F58" s="59">
        <f>B18*3</f>
        <v/>
      </c>
      <c r="G58" s="59">
        <f>B18*3</f>
        <v/>
      </c>
      <c r="H58" s="59">
        <f>B18*3</f>
        <v/>
      </c>
      <c r="I58" s="59">
        <f>B18*3</f>
        <v/>
      </c>
      <c r="J58" s="59">
        <f>B18*3</f>
        <v/>
      </c>
      <c r="K58" s="59">
        <f>B18*3</f>
        <v/>
      </c>
      <c r="L58" s="59">
        <f>B18*3</f>
        <v/>
      </c>
      <c r="M58" s="59">
        <f>B18*3</f>
        <v/>
      </c>
      <c r="N58" s="59">
        <f>B18*3</f>
        <v/>
      </c>
      <c r="O58" s="58">
        <f>SUM(C58:F58)</f>
        <v/>
      </c>
      <c r="P58" s="58">
        <f>SUM(G58:J58)</f>
        <v/>
      </c>
      <c r="Q58" s="58">
        <f>SUM(K58:N58)</f>
        <v/>
      </c>
    </row>
    <row r="59" ht="15" customHeight="1" s="39">
      <c r="A59" s="41" t="inlineStr">
        <is>
          <t>インフラ</t>
        </is>
      </c>
      <c r="B59" s="45" t="inlineStr">
        <is>
          <t>円</t>
        </is>
      </c>
      <c r="C59" s="57" t="n">
        <v>7500</v>
      </c>
      <c r="D59" s="57" t="n">
        <v>7500</v>
      </c>
      <c r="E59" s="57" t="n">
        <v>12000</v>
      </c>
      <c r="F59" s="57" t="n">
        <v>15000</v>
      </c>
      <c r="G59" s="57" t="n">
        <v>22500</v>
      </c>
      <c r="H59" s="57" t="n">
        <v>30000</v>
      </c>
      <c r="I59" s="57" t="n">
        <v>42000</v>
      </c>
      <c r="J59" s="57" t="n">
        <v>52500</v>
      </c>
      <c r="K59" s="57" t="n">
        <v>75000</v>
      </c>
      <c r="L59" s="57" t="n">
        <v>97500</v>
      </c>
      <c r="M59" s="57" t="n">
        <v>120000</v>
      </c>
      <c r="N59" s="57" t="n">
        <v>150000</v>
      </c>
      <c r="O59" s="58">
        <f>SUM(C59:F59)</f>
        <v/>
      </c>
      <c r="P59" s="58">
        <f>SUM(G59:J59)</f>
        <v/>
      </c>
      <c r="Q59" s="58">
        <f>SUM(K59:N59)</f>
        <v/>
      </c>
    </row>
    <row r="60" ht="15" customHeight="1" s="39">
      <c r="A60" s="43" t="inlineStr">
        <is>
          <t>Claude API</t>
        </is>
      </c>
      <c r="B60" s="45" t="inlineStr">
        <is>
          <t>円</t>
        </is>
      </c>
      <c r="C60" s="57" t="n">
        <v>4500</v>
      </c>
      <c r="D60" s="57" t="n">
        <v>9000</v>
      </c>
      <c r="E60" s="57" t="n">
        <v>18000</v>
      </c>
      <c r="F60" s="57" t="n">
        <v>27000</v>
      </c>
      <c r="G60" s="57" t="n">
        <v>45000</v>
      </c>
      <c r="H60" s="57" t="n">
        <v>67500</v>
      </c>
      <c r="I60" s="57" t="n">
        <v>97500</v>
      </c>
      <c r="J60" s="57" t="n">
        <v>127500</v>
      </c>
      <c r="K60" s="57" t="n">
        <v>180000</v>
      </c>
      <c r="L60" s="57" t="n">
        <v>255000</v>
      </c>
      <c r="M60" s="57" t="n">
        <v>345000</v>
      </c>
      <c r="N60" s="57" t="n">
        <v>450000</v>
      </c>
      <c r="O60" s="58">
        <f>SUM(C60:F60)</f>
        <v/>
      </c>
      <c r="P60" s="58">
        <f>SUM(G60:J60)</f>
        <v/>
      </c>
      <c r="Q60" s="58">
        <f>SUM(K60:N60)</f>
        <v/>
      </c>
    </row>
    <row r="61" ht="15" customHeight="1" s="39">
      <c r="A61" s="43" t="inlineStr">
        <is>
          <t>SaaSツール</t>
        </is>
      </c>
      <c r="B61" s="45" t="inlineStr">
        <is>
          <t>円</t>
        </is>
      </c>
      <c r="C61" s="57" t="n">
        <v>8000</v>
      </c>
      <c r="D61" s="57" t="n">
        <v>8000</v>
      </c>
      <c r="E61" s="57" t="n">
        <v>10000</v>
      </c>
      <c r="F61" s="57" t="n">
        <v>10000</v>
      </c>
      <c r="G61" s="57" t="n">
        <v>12000</v>
      </c>
      <c r="H61" s="57" t="n">
        <v>12000</v>
      </c>
      <c r="I61" s="57" t="n">
        <v>15000</v>
      </c>
      <c r="J61" s="57" t="n">
        <v>15000</v>
      </c>
      <c r="K61" s="57" t="n">
        <v>18000</v>
      </c>
      <c r="L61" s="57" t="n">
        <v>18000</v>
      </c>
      <c r="M61" s="57" t="n">
        <v>20000</v>
      </c>
      <c r="N61" s="57" t="n">
        <v>20000</v>
      </c>
      <c r="O61" s="58">
        <f>SUM(C61:F61)</f>
        <v/>
      </c>
      <c r="P61" s="58">
        <f>SUM(G61:J61)</f>
        <v/>
      </c>
      <c r="Q61" s="58">
        <f>SUM(K61:N61)</f>
        <v/>
      </c>
    </row>
    <row r="62" ht="15" customHeight="1" s="39">
      <c r="A62" s="41" t="inlineStr">
        <is>
          <t>マーケティング</t>
        </is>
      </c>
      <c r="B62" s="45" t="inlineStr">
        <is>
          <t>円</t>
        </is>
      </c>
      <c r="C62" s="57" t="n">
        <v>0</v>
      </c>
      <c r="D62" s="57" t="n">
        <v>0</v>
      </c>
      <c r="E62" s="57" t="n">
        <v>15000</v>
      </c>
      <c r="F62" s="57" t="n">
        <v>22500</v>
      </c>
      <c r="G62" s="57" t="n">
        <v>30000</v>
      </c>
      <c r="H62" s="57" t="n">
        <v>45000</v>
      </c>
      <c r="I62" s="57" t="n">
        <v>60000</v>
      </c>
      <c r="J62" s="57" t="n">
        <v>75000</v>
      </c>
      <c r="K62" s="57" t="n">
        <v>120000</v>
      </c>
      <c r="L62" s="57" t="n">
        <v>150000</v>
      </c>
      <c r="M62" s="57" t="n">
        <v>195000</v>
      </c>
      <c r="N62" s="57" t="n">
        <v>240000</v>
      </c>
      <c r="O62" s="58">
        <f>SUM(C62:F62)</f>
        <v/>
      </c>
      <c r="P62" s="58">
        <f>SUM(G62:J62)</f>
        <v/>
      </c>
      <c r="Q62" s="58">
        <f>SUM(K62:N62)</f>
        <v/>
      </c>
    </row>
    <row r="63" ht="15" customHeight="1" s="39">
      <c r="A63" s="43" t="inlineStr">
        <is>
          <t>Stripe手数料 4.3%</t>
        </is>
      </c>
      <c r="B63" s="45" t="inlineStr">
        <is>
          <t>円</t>
        </is>
      </c>
      <c r="C63" s="59">
        <f>ROUND(C55*0.043,0)</f>
        <v/>
      </c>
      <c r="D63" s="59">
        <f>ROUND(D55*0.043,0)</f>
        <v/>
      </c>
      <c r="E63" s="59">
        <f>ROUND(E55*0.043,0)</f>
        <v/>
      </c>
      <c r="F63" s="59">
        <f>ROUND(F55*0.043,0)</f>
        <v/>
      </c>
      <c r="G63" s="59">
        <f>ROUND(G55*0.043,0)</f>
        <v/>
      </c>
      <c r="H63" s="59">
        <f>ROUND(H55*0.043,0)</f>
        <v/>
      </c>
      <c r="I63" s="59">
        <f>ROUND(I55*0.043,0)</f>
        <v/>
      </c>
      <c r="J63" s="59">
        <f>ROUND(J55*0.043,0)</f>
        <v/>
      </c>
      <c r="K63" s="59">
        <f>ROUND(K55*0.043,0)</f>
        <v/>
      </c>
      <c r="L63" s="59">
        <f>ROUND(L55*0.043,0)</f>
        <v/>
      </c>
      <c r="M63" s="59">
        <f>ROUND(M55*0.043,0)</f>
        <v/>
      </c>
      <c r="N63" s="59">
        <f>ROUND(N55*0.043,0)</f>
        <v/>
      </c>
      <c r="O63" s="58">
        <f>SUM(C63:F63)</f>
        <v/>
      </c>
      <c r="P63" s="58">
        <f>SUM(G63:J63)</f>
        <v/>
      </c>
      <c r="Q63" s="58">
        <f>SUM(K63:N63)</f>
        <v/>
      </c>
    </row>
    <row r="64" ht="15" customHeight="1" s="39">
      <c r="A64" s="41" t="inlineStr">
        <is>
          <t>ローカライズ</t>
        </is>
      </c>
      <c r="B64" s="45" t="inlineStr">
        <is>
          <t>円</t>
        </is>
      </c>
      <c r="C64" s="57" t="n">
        <v>0</v>
      </c>
      <c r="D64" s="57" t="n">
        <v>0</v>
      </c>
      <c r="E64" s="57" t="n">
        <v>0</v>
      </c>
      <c r="F64" s="57" t="n">
        <v>0</v>
      </c>
      <c r="G64" s="57" t="n">
        <v>50000</v>
      </c>
      <c r="H64" s="57" t="n">
        <v>0</v>
      </c>
      <c r="I64" s="57" t="n">
        <v>30000</v>
      </c>
      <c r="J64" s="57" t="n">
        <v>0</v>
      </c>
      <c r="K64" s="57" t="n">
        <v>150000</v>
      </c>
      <c r="L64" s="57" t="n">
        <v>30000</v>
      </c>
      <c r="M64" s="57" t="n">
        <v>50000</v>
      </c>
      <c r="N64" s="57" t="n">
        <v>30000</v>
      </c>
      <c r="O64" s="58">
        <f>SUM(C64:F64)</f>
        <v/>
      </c>
      <c r="P64" s="58">
        <f>SUM(G64:J64)</f>
        <v/>
      </c>
      <c r="Q64" s="58">
        <f>SUM(K64:N64)</f>
        <v/>
      </c>
    </row>
    <row r="65" ht="15" customHeight="1" s="39">
      <c r="A65" s="66" t="inlineStr">
        <is>
          <t>コスト合計</t>
        </is>
      </c>
      <c r="B65" s="67" t="inlineStr">
        <is>
          <t>円</t>
        </is>
      </c>
      <c r="C65" s="68">
        <f>C58+C59+C60+C61+C62+C63+C64</f>
        <v/>
      </c>
      <c r="D65" s="68">
        <f>D58+D59+D60+D61+D62+D63+D64</f>
        <v/>
      </c>
      <c r="E65" s="68">
        <f>E58+E59+E60+E61+E62+E63+E64</f>
        <v/>
      </c>
      <c r="F65" s="68">
        <f>F58+F59+F60+F61+F62+F63+F64</f>
        <v/>
      </c>
      <c r="G65" s="68">
        <f>G58+G59+G60+G61+G62+G63+G64</f>
        <v/>
      </c>
      <c r="H65" s="68">
        <f>H58+H59+H60+H61+H62+H63+H64</f>
        <v/>
      </c>
      <c r="I65" s="68">
        <f>I58+I59+I60+I61+I62+I63+I64</f>
        <v/>
      </c>
      <c r="J65" s="68">
        <f>J58+J59+J60+J61+J62+J63+J64</f>
        <v/>
      </c>
      <c r="K65" s="68">
        <f>K58+K59+K60+K61+K62+K63+K64</f>
        <v/>
      </c>
      <c r="L65" s="68">
        <f>L58+L59+L60+L61+L62+L63+L64</f>
        <v/>
      </c>
      <c r="M65" s="68">
        <f>M58+M59+M60+M61+M62+M63+M64</f>
        <v/>
      </c>
      <c r="N65" s="68">
        <f>N58+N59+N60+N61+N62+N63+N64</f>
        <v/>
      </c>
      <c r="O65" s="68">
        <f>SUM(C65:F65)</f>
        <v/>
      </c>
      <c r="P65" s="68">
        <f>SUM(G65:J65)</f>
        <v/>
      </c>
      <c r="Q65" s="68">
        <f>SUM(K65:N65)</f>
        <v/>
      </c>
    </row>
    <row r="66" ht="15" customHeight="1" s="39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</row>
    <row r="67" ht="15" customHeight="1" s="39">
      <c r="A67" s="40" t="inlineStr">
        <is>
          <t>【損益】</t>
        </is>
      </c>
    </row>
    <row r="68" ht="15" customHeight="1" s="39">
      <c r="A68" s="70" t="inlineStr">
        <is>
          <t>営業損益（四半期）</t>
        </is>
      </c>
      <c r="B68" s="71" t="inlineStr">
        <is>
          <t>円</t>
        </is>
      </c>
      <c r="C68" s="72">
        <f>C55-C65</f>
        <v/>
      </c>
      <c r="D68" s="72">
        <f>D55-D65</f>
        <v/>
      </c>
      <c r="E68" s="72">
        <f>E55-E65</f>
        <v/>
      </c>
      <c r="F68" s="72">
        <f>F55-F65</f>
        <v/>
      </c>
      <c r="G68" s="72">
        <f>G55-G65</f>
        <v/>
      </c>
      <c r="H68" s="72">
        <f>H55-H65</f>
        <v/>
      </c>
      <c r="I68" s="72">
        <f>I55-I65</f>
        <v/>
      </c>
      <c r="J68" s="72">
        <f>J55-J65</f>
        <v/>
      </c>
      <c r="K68" s="72">
        <f>K55-K65</f>
        <v/>
      </c>
      <c r="L68" s="72">
        <f>L55-L65</f>
        <v/>
      </c>
      <c r="M68" s="72">
        <f>M55-M65</f>
        <v/>
      </c>
      <c r="N68" s="72">
        <f>N55-N65</f>
        <v/>
      </c>
      <c r="O68" s="72">
        <f>SUM(C68:F68)</f>
        <v/>
      </c>
      <c r="P68" s="72">
        <f>SUM(G68:J68)</f>
        <v/>
      </c>
      <c r="Q68" s="72">
        <f>SUM(K68:N68)</f>
        <v/>
      </c>
    </row>
    <row r="69" ht="15" customHeight="1" s="39">
      <c r="A69" s="44" t="inlineStr">
        <is>
          <t>累計損益</t>
        </is>
      </c>
      <c r="B69" s="45" t="inlineStr">
        <is>
          <t>円</t>
        </is>
      </c>
      <c r="C69" s="73">
        <f>C68</f>
        <v/>
      </c>
      <c r="D69" s="73">
        <f>C69+D68</f>
        <v/>
      </c>
      <c r="E69" s="73">
        <f>D69+E68</f>
        <v/>
      </c>
      <c r="F69" s="73">
        <f>E69+F68</f>
        <v/>
      </c>
      <c r="G69" s="73">
        <f>F69+G68</f>
        <v/>
      </c>
      <c r="H69" s="73">
        <f>G69+H68</f>
        <v/>
      </c>
      <c r="I69" s="73">
        <f>H69+I68</f>
        <v/>
      </c>
      <c r="J69" s="73">
        <f>I69+J68</f>
        <v/>
      </c>
      <c r="K69" s="73">
        <f>J69+K68</f>
        <v/>
      </c>
      <c r="L69" s="73">
        <f>K69+L68</f>
        <v/>
      </c>
      <c r="M69" s="73">
        <f>L69+M68</f>
        <v/>
      </c>
      <c r="N69" s="73">
        <f>M69+N68</f>
        <v/>
      </c>
      <c r="O69" s="73">
        <f>F69</f>
        <v/>
      </c>
      <c r="P69" s="73">
        <f>J69</f>
        <v/>
      </c>
      <c r="Q69" s="73">
        <f>N69</f>
        <v/>
      </c>
    </row>
  </sheetData>
  <mergeCells count="3">
    <mergeCell ref="C22:F22"/>
    <mergeCell ref="G22:J22"/>
    <mergeCell ref="K22:N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8" min="1" max="1"/>
    <col width="14" customWidth="1" style="38" min="2" max="11"/>
  </cols>
  <sheetData>
    <row r="1" ht="21.6" customHeight="1" s="39">
      <c r="A1" s="47" t="inlineStr">
        <is>
          <t>Chronos — 3シナリオ比較</t>
        </is>
      </c>
    </row>
    <row r="3" ht="15" customHeight="1" s="39">
      <c r="A3" s="53" t="n"/>
      <c r="B3" s="74" t="inlineStr">
        <is>
          <t>悲観Y1</t>
        </is>
      </c>
      <c r="C3" s="74" t="inlineStr">
        <is>
          <t>悲観Y2</t>
        </is>
      </c>
      <c r="D3" s="74" t="inlineStr">
        <is>
          <t>悲観Y3</t>
        </is>
      </c>
      <c r="E3" s="74" t="inlineStr">
        <is>
          <t>標準Y1</t>
        </is>
      </c>
      <c r="F3" s="74" t="inlineStr">
        <is>
          <t>標準Y2</t>
        </is>
      </c>
      <c r="G3" s="74" t="inlineStr">
        <is>
          <t>標準Y3</t>
        </is>
      </c>
      <c r="H3" s="74" t="inlineStr">
        <is>
          <t>楽観Y1</t>
        </is>
      </c>
      <c r="I3" s="74" t="inlineStr">
        <is>
          <t>楽観Y2</t>
        </is>
      </c>
      <c r="J3" s="74" t="inlineStr">
        <is>
          <t>楽観Y3</t>
        </is>
      </c>
    </row>
    <row r="4" ht="15" customHeight="1" s="39">
      <c r="A4" s="43" t="inlineStr">
        <is>
          <t>Proユーザー（Y末）</t>
        </is>
      </c>
      <c r="B4" s="75" t="n">
        <v>14</v>
      </c>
      <c r="C4" s="75" t="n">
        <v>66</v>
      </c>
      <c r="D4" s="75" t="n">
        <v>246</v>
      </c>
      <c r="E4" s="75" t="n">
        <v>74</v>
      </c>
      <c r="F4" s="75" t="n">
        <v>375</v>
      </c>
      <c r="G4" s="75" t="n">
        <v>1647</v>
      </c>
      <c r="H4" s="75" t="n">
        <v>233</v>
      </c>
      <c r="I4" s="75" t="n">
        <v>1287</v>
      </c>
      <c r="J4" s="75" t="n">
        <v>5498</v>
      </c>
    </row>
    <row r="5" ht="15" customHeight="1" s="39">
      <c r="A5" s="43" t="inlineStr">
        <is>
          <t>Business契約社数</t>
        </is>
      </c>
      <c r="B5" s="75" t="n">
        <v>0</v>
      </c>
      <c r="C5" s="75" t="n">
        <v>0</v>
      </c>
      <c r="D5" s="75" t="n">
        <v>10</v>
      </c>
      <c r="E5" s="75" t="n">
        <v>0</v>
      </c>
      <c r="F5" s="75" t="n">
        <v>0</v>
      </c>
      <c r="G5" s="75" t="n">
        <v>28</v>
      </c>
      <c r="H5" s="75" t="n">
        <v>0</v>
      </c>
      <c r="I5" s="75" t="n">
        <v>0</v>
      </c>
      <c r="J5" s="75" t="n">
        <v>82</v>
      </c>
    </row>
    <row r="6" ht="15" customHeight="1" s="39">
      <c r="A6" s="41" t="inlineStr">
        <is>
          <t>累計登録ユーザー</t>
        </is>
      </c>
      <c r="B6" s="75" t="n">
        <v>830</v>
      </c>
      <c r="C6" s="75" t="n">
        <v>4030</v>
      </c>
      <c r="D6" s="75" t="n">
        <v>14730</v>
      </c>
      <c r="E6" s="75" t="n">
        <v>2800</v>
      </c>
      <c r="F6" s="75" t="n">
        <v>13700</v>
      </c>
      <c r="G6" s="75" t="n">
        <v>53700</v>
      </c>
      <c r="H6" s="75" t="n">
        <v>6400</v>
      </c>
      <c r="I6" s="75" t="n">
        <v>33700</v>
      </c>
      <c r="J6" s="75" t="n">
        <v>135700</v>
      </c>
    </row>
    <row r="7" ht="15" customHeight="1" s="39">
      <c r="A7" s="41" t="inlineStr">
        <is>
          <t>推定MAU</t>
        </is>
      </c>
      <c r="B7" s="75" t="n">
        <v>249</v>
      </c>
      <c r="C7" s="75" t="n">
        <v>1209</v>
      </c>
      <c r="D7" s="75" t="n">
        <v>4419</v>
      </c>
      <c r="E7" s="75" t="n">
        <v>840</v>
      </c>
      <c r="F7" s="75" t="n">
        <v>4110</v>
      </c>
      <c r="G7" s="75" t="n">
        <v>16110</v>
      </c>
      <c r="H7" s="75" t="n">
        <v>1920</v>
      </c>
      <c r="I7" s="75" t="n">
        <v>10110</v>
      </c>
      <c r="J7" s="75" t="n">
        <v>40710</v>
      </c>
    </row>
    <row r="8" ht="15" customHeight="1" s="39">
      <c r="A8" s="41" t="inlineStr">
        <is>
          <t>年間売上（Pro+Biz）</t>
        </is>
      </c>
      <c r="B8" s="75" t="n">
        <v>72000</v>
      </c>
      <c r="C8" s="75" t="n">
        <v>474000</v>
      </c>
      <c r="D8" s="75" t="n">
        <v>2357550</v>
      </c>
      <c r="E8" s="75" t="n">
        <v>345600</v>
      </c>
      <c r="F8" s="75" t="n">
        <v>2660400</v>
      </c>
      <c r="G8" s="75" t="n">
        <v>14065650</v>
      </c>
      <c r="H8" s="75" t="n">
        <v>1034400</v>
      </c>
      <c r="I8" s="75" t="n">
        <v>8851200</v>
      </c>
      <c r="J8" s="75" t="n">
        <v>48013950</v>
      </c>
    </row>
    <row r="9" ht="15" customHeight="1" s="39">
      <c r="A9" s="41" t="inlineStr">
        <is>
          <t>年間コスト</t>
        </is>
      </c>
      <c r="B9" s="75" t="n">
        <v>2498496</v>
      </c>
      <c r="C9" s="75" t="n">
        <v>2850482</v>
      </c>
      <c r="D9" s="75" t="n">
        <v>3852875</v>
      </c>
      <c r="E9" s="75" t="n">
        <v>2542861</v>
      </c>
      <c r="F9" s="75" t="n">
        <v>3111398</v>
      </c>
      <c r="G9" s="75" t="n">
        <v>4925823</v>
      </c>
      <c r="H9" s="75" t="n">
        <v>2618480</v>
      </c>
      <c r="I9" s="75" t="n">
        <v>3609102</v>
      </c>
      <c r="J9" s="75" t="n">
        <v>7178101</v>
      </c>
    </row>
    <row r="10" ht="15" customHeight="1" s="39">
      <c r="A10" s="41" t="inlineStr">
        <is>
          <t>年間損益</t>
        </is>
      </c>
      <c r="B10" s="75" t="n">
        <v>-2426496</v>
      </c>
      <c r="C10" s="75" t="n">
        <v>-2376482</v>
      </c>
      <c r="D10" s="75" t="n">
        <v>-1495325</v>
      </c>
      <c r="E10" s="75" t="n">
        <v>-2197261</v>
      </c>
      <c r="F10" s="75" t="n">
        <v>-450998</v>
      </c>
      <c r="G10" s="75" t="n">
        <v>9139827</v>
      </c>
      <c r="H10" s="75" t="n">
        <v>-1584080</v>
      </c>
      <c r="I10" s="75" t="n">
        <v>5242098</v>
      </c>
      <c r="J10" s="75" t="n">
        <v>40835849</v>
      </c>
    </row>
    <row r="11" ht="15" customHeight="1" s="39">
      <c r="A11" s="41" t="inlineStr">
        <is>
          <t>累計損益</t>
        </is>
      </c>
      <c r="B11" s="75" t="n">
        <v>-2426496</v>
      </c>
      <c r="C11" s="75" t="n">
        <v>-4802978</v>
      </c>
      <c r="D11" s="75" t="n">
        <v>-6298303</v>
      </c>
      <c r="E11" s="75" t="n">
        <v>-2197261</v>
      </c>
      <c r="F11" s="75" t="n">
        <v>-2648259</v>
      </c>
      <c r="G11" s="75" t="n">
        <v>6491568</v>
      </c>
      <c r="H11" s="75" t="n">
        <v>-1584080</v>
      </c>
      <c r="I11" s="75" t="n">
        <v>3658018</v>
      </c>
      <c r="J11" s="75" t="n">
        <v>44493867</v>
      </c>
    </row>
    <row r="13" ht="15" customHeight="1" s="39">
      <c r="A13" s="40" t="inlineStr">
        <is>
          <t>■ ポイント</t>
        </is>
      </c>
    </row>
    <row r="14" ht="13.4" customHeight="1" s="39">
      <c r="A14" s="45" t="inlineStr">
        <is>
          <t>・Free埋め込み（Powered by Chronos）でデファクト化 → Business契約に転換。</t>
        </is>
      </c>
    </row>
    <row r="15" ht="13.4" customHeight="1" s="39">
      <c r="A15" s="45" t="inlineStr">
        <is>
          <t>・Business ¥60,000/年は担当者決裁権限内。年額一括で稟議ハードル低い。</t>
        </is>
      </c>
    </row>
    <row r="16" ht="13.4" customHeight="1" s="39">
      <c r="A16" s="45" t="inlineStr">
        <is>
          <t>・B2B解約率は四半期2%と低い（年間約8%）。LTVはProの10倍以上。</t>
        </is>
      </c>
    </row>
    <row r="17" ht="13.4" customHeight="1" s="39">
      <c r="A17" s="45" t="inlineStr">
        <is>
          <t>・標準シナリオでY3末28社。少数でも年間168万円の安定収益。</t>
        </is>
      </c>
    </row>
    <row r="18" ht="13.4" customHeight="1" s="39">
      <c r="A18" s="45" t="inlineStr">
        <is>
          <t>・悲観でも3年累計赤字は限定的。月20万の軽いコスト構造が効いている。</t>
        </is>
      </c>
    </row>
  </sheetData>
  <mergeCells count="5">
    <mergeCell ref="A14:J14"/>
    <mergeCell ref="A17:J17"/>
    <mergeCell ref="A18:J18"/>
    <mergeCell ref="A15:J15"/>
    <mergeCell ref="A16:J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2026-02-12T12:57:04Z</dcterms:created>
  <dcterms:modified xmlns:dcterms="http://purl.org/dc/terms/" xmlns:xsi="http://www.w3.org/2001/XMLSchema-instance" xsi:type="dcterms:W3CDTF">2026-02-12T13:19:37Z</dcterms:modified>
  <cp:revision>0</cp:revision>
</cp:coreProperties>
</file>