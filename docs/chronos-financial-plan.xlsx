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前提条件" sheetId="1" state="visible" r:id="rId3"/>
    <sheet name="収支計画（Base）" sheetId="2" state="visible" r:id="rId4"/>
    <sheet name="シナリオ比較" sheetId="3" state="visible" r:id="rId5"/>
    <sheet name="初期投資内訳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<sst xmlns="http://schemas.openxmlformats.org/spreadsheetml/2006/main" count="233" uniqueCount="189">
  <si>
    <r>
      <rPr>
        <b val="true"/>
        <sz val="20"/>
        <color rgb="FF0A0A0C"/>
        <rFont val="Arial"/>
        <family val="0"/>
        <charset val="1"/>
      </rPr>
      <t xml:space="preserve">CHRONOS — </t>
    </r>
    <r>
      <rPr>
        <b val="true"/>
        <sz val="20"/>
        <color rgb="FF0A0A0C"/>
        <rFont val="Noto Sans CJK SC"/>
        <family val="2"/>
      </rPr>
      <t xml:space="preserve">収支計画 前提条件</t>
    </r>
  </si>
  <si>
    <t xml:space="preserve">Every event has context.  |  Version 1.0  |  February 2026</t>
  </si>
  <si>
    <t xml:space="preserve">事業概要</t>
  </si>
  <si>
    <t xml:space="preserve">事業形態</t>
  </si>
  <si>
    <t xml:space="preserve">副業（本業の収入あり）</t>
  </si>
  <si>
    <t xml:space="preserve">チーム</t>
  </si>
  <si>
    <r>
      <rPr>
        <sz val="10"/>
        <color rgb="FF0A0A0C"/>
        <rFont val="Arial"/>
        <family val="0"/>
        <charset val="1"/>
      </rPr>
      <t xml:space="preserve">2</t>
    </r>
    <r>
      <rPr>
        <sz val="10"/>
        <color rgb="FF0A0A0C"/>
        <rFont val="Noto Sans CJK SC"/>
        <family val="2"/>
      </rPr>
      <t xml:space="preserve">名（</t>
    </r>
    <r>
      <rPr>
        <sz val="10"/>
        <color rgb="FF0A0A0C"/>
        <rFont val="Arial"/>
        <family val="0"/>
        <charset val="1"/>
      </rPr>
      <t xml:space="preserve">PdM</t>
    </r>
    <r>
      <rPr>
        <sz val="10"/>
        <color rgb="FF0A0A0C"/>
        <rFont val="Noto Sans CJK SC"/>
        <family val="2"/>
      </rPr>
      <t xml:space="preserve">兼デザイナー＋エンジニア）</t>
    </r>
  </si>
  <si>
    <t xml:space="preserve">プラットフォーム</t>
  </si>
  <si>
    <r>
      <rPr>
        <sz val="10"/>
        <color rgb="FF0A0A0C"/>
        <rFont val="Arial"/>
        <family val="0"/>
        <charset val="1"/>
      </rPr>
      <t xml:space="preserve">Web</t>
    </r>
    <r>
      <rPr>
        <sz val="10"/>
        <color rgb="FF0A0A0C"/>
        <rFont val="Noto Sans CJK SC"/>
        <family val="2"/>
      </rPr>
      <t xml:space="preserve">（</t>
    </r>
    <r>
      <rPr>
        <sz val="10"/>
        <color rgb="FF0A0A0C"/>
        <rFont val="Arial"/>
        <family val="0"/>
        <charset val="1"/>
      </rPr>
      <t xml:space="preserve">PWA</t>
    </r>
    <r>
      <rPr>
        <sz val="10"/>
        <color rgb="FF0A0A0C"/>
        <rFont val="Noto Sans CJK SC"/>
        <family val="2"/>
      </rPr>
      <t xml:space="preserve">）先行 → </t>
    </r>
    <r>
      <rPr>
        <sz val="10"/>
        <color rgb="FF0A0A0C"/>
        <rFont val="Arial"/>
        <family val="0"/>
        <charset val="1"/>
      </rPr>
      <t xml:space="preserve">iOS</t>
    </r>
    <r>
      <rPr>
        <sz val="10"/>
        <color rgb="FF0A0A0C"/>
        <rFont val="Noto Sans CJK SC"/>
        <family val="2"/>
      </rPr>
      <t xml:space="preserve">後追い</t>
    </r>
  </si>
  <si>
    <t xml:space="preserve">技術スタック</t>
  </si>
  <si>
    <t xml:space="preserve">Next.js / Supabase / Vercel</t>
  </si>
  <si>
    <t xml:space="preserve">初期投資上限</t>
  </si>
  <si>
    <t xml:space="preserve">円</t>
  </si>
  <si>
    <t xml:space="preserve">開発期間のエンジニア報酬＋インフラ</t>
  </si>
  <si>
    <t xml:space="preserve">収益モデル</t>
  </si>
  <si>
    <t xml:space="preserve">フリーミアム＋サブスクリプション</t>
  </si>
  <si>
    <t xml:space="preserve">買い切りなし</t>
  </si>
  <si>
    <t xml:space="preserve">料金プラン</t>
  </si>
  <si>
    <t xml:space="preserve">プラン</t>
  </si>
  <si>
    <t xml:space="preserve">月額</t>
  </si>
  <si>
    <t xml:space="preserve">年額</t>
  </si>
  <si>
    <t xml:space="preserve">内容</t>
  </si>
  <si>
    <t xml:space="preserve">Free</t>
  </si>
  <si>
    <t xml:space="preserve">¥0</t>
  </si>
  <si>
    <t xml:space="preserve">—</t>
  </si>
  <si>
    <r>
      <rPr>
        <sz val="9"/>
        <color rgb="FF8A8680"/>
        <rFont val="Noto Sans CJK SC"/>
        <family val="2"/>
      </rPr>
      <t xml:space="preserve">年表</t>
    </r>
    <r>
      <rPr>
        <sz val="9"/>
        <color rgb="FF8A8680"/>
        <rFont val="Arial"/>
        <family val="0"/>
        <charset val="1"/>
      </rPr>
      <t xml:space="preserve">3</t>
    </r>
    <r>
      <rPr>
        <sz val="9"/>
        <color rgb="FF8A8680"/>
        <rFont val="Noto Sans CJK SC"/>
        <family val="2"/>
      </rPr>
      <t xml:space="preserve">つ、</t>
    </r>
    <r>
      <rPr>
        <sz val="9"/>
        <color rgb="FF8A8680"/>
        <rFont val="Arial"/>
        <family val="0"/>
        <charset val="1"/>
      </rPr>
      <t xml:space="preserve">AI</t>
    </r>
    <r>
      <rPr>
        <sz val="9"/>
        <color rgb="FF8A8680"/>
        <rFont val="Noto Sans CJK SC"/>
        <family val="2"/>
      </rPr>
      <t xml:space="preserve">生成月</t>
    </r>
    <r>
      <rPr>
        <sz val="9"/>
        <color rgb="FF8A8680"/>
        <rFont val="Arial"/>
        <family val="0"/>
        <charset val="1"/>
      </rPr>
      <t xml:space="preserve">5</t>
    </r>
    <r>
      <rPr>
        <sz val="9"/>
        <color rgb="FF8A8680"/>
        <rFont val="Noto Sans CJK SC"/>
        <family val="2"/>
      </rPr>
      <t xml:space="preserve">回、透かし入り書き出し</t>
    </r>
  </si>
  <si>
    <r>
      <rPr>
        <sz val="10"/>
        <color rgb="FF0A0A0C"/>
        <rFont val="Arial"/>
        <family val="0"/>
        <charset val="1"/>
      </rPr>
      <t xml:space="preserve">Pro</t>
    </r>
    <r>
      <rPr>
        <sz val="10"/>
        <color rgb="FF0A0A0C"/>
        <rFont val="Noto Sans CJK SC"/>
        <family val="2"/>
      </rPr>
      <t xml:space="preserve">（月額）</t>
    </r>
  </si>
  <si>
    <t xml:space="preserve">¥800</t>
  </si>
  <si>
    <t xml:space="preserve">無制限、透かしなし、高解像度書き出し、全機能</t>
  </si>
  <si>
    <r>
      <rPr>
        <sz val="10"/>
        <color rgb="FF0A0A0C"/>
        <rFont val="Arial"/>
        <family val="0"/>
        <charset val="1"/>
      </rPr>
      <t xml:space="preserve">Pro</t>
    </r>
    <r>
      <rPr>
        <sz val="10"/>
        <color rgb="FF0A0A0C"/>
        <rFont val="Noto Sans CJK SC"/>
        <family val="2"/>
      </rPr>
      <t xml:space="preserve">（年額）</t>
    </r>
  </si>
  <si>
    <t xml:space="preserve">¥6,800</t>
  </si>
  <si>
    <r>
      <rPr>
        <sz val="9"/>
        <color rgb="FF8A8680"/>
        <rFont val="Noto Sans CJK SC"/>
        <family val="2"/>
      </rPr>
      <t xml:space="preserve">月額換算 </t>
    </r>
    <r>
      <rPr>
        <sz val="9"/>
        <color rgb="FF8A8680"/>
        <rFont val="Arial"/>
        <family val="0"/>
        <charset val="1"/>
      </rPr>
      <t xml:space="preserve">¥567</t>
    </r>
    <r>
      <rPr>
        <sz val="9"/>
        <color rgb="FF8A8680"/>
        <rFont val="Noto Sans CJK SC"/>
        <family val="2"/>
      </rPr>
      <t xml:space="preserve">。</t>
    </r>
    <r>
      <rPr>
        <sz val="9"/>
        <color rgb="FF8A8680"/>
        <rFont val="Arial"/>
        <family val="0"/>
        <charset val="1"/>
      </rPr>
      <t xml:space="preserve">2</t>
    </r>
    <r>
      <rPr>
        <sz val="9"/>
        <color rgb="FF8A8680"/>
        <rFont val="Noto Sans CJK SC"/>
        <family val="2"/>
      </rPr>
      <t xml:space="preserve">ヶ月分お得。</t>
    </r>
  </si>
  <si>
    <t xml:space="preserve">月次コスト前提</t>
  </si>
  <si>
    <t xml:space="preserve">項目</t>
  </si>
  <si>
    <t xml:space="preserve">月額（円）</t>
  </si>
  <si>
    <t xml:space="preserve">フェーズ</t>
  </si>
  <si>
    <t xml:space="preserve">備考</t>
  </si>
  <si>
    <t xml:space="preserve">エンジニア固定報酬</t>
  </si>
  <si>
    <r>
      <rPr>
        <sz val="9"/>
        <color rgb="FF8A8680"/>
        <rFont val="Arial"/>
        <family val="0"/>
        <charset val="1"/>
      </rPr>
      <t xml:space="preserve">Phase 0</t>
    </r>
    <r>
      <rPr>
        <sz val="9"/>
        <color rgb="FF8A8680"/>
        <rFont val="Noto Sans CJK SC"/>
        <family val="2"/>
      </rPr>
      <t xml:space="preserve">〜</t>
    </r>
  </si>
  <si>
    <r>
      <rPr>
        <sz val="9"/>
        <color rgb="FF8A8680"/>
        <rFont val="Noto Sans CJK SC"/>
        <family val="2"/>
      </rPr>
      <t xml:space="preserve">副業ベース。月</t>
    </r>
    <r>
      <rPr>
        <sz val="9"/>
        <color rgb="FF8A8680"/>
        <rFont val="Arial"/>
        <family val="0"/>
        <charset val="1"/>
      </rPr>
      <t xml:space="preserve">80</t>
    </r>
    <r>
      <rPr>
        <sz val="9"/>
        <color rgb="FF8A8680"/>
        <rFont val="Noto Sans CJK SC"/>
        <family val="2"/>
      </rPr>
      <t xml:space="preserve">〜</t>
    </r>
    <r>
      <rPr>
        <sz val="9"/>
        <color rgb="FF8A8680"/>
        <rFont val="Arial"/>
        <family val="0"/>
        <charset val="1"/>
      </rPr>
      <t xml:space="preserve">100</t>
    </r>
    <r>
      <rPr>
        <sz val="9"/>
        <color rgb="FF8A8680"/>
        <rFont val="Noto Sans CJK SC"/>
        <family val="2"/>
      </rPr>
      <t xml:space="preserve">時間想定。</t>
    </r>
  </si>
  <si>
    <t xml:space="preserve">Vercel Pro</t>
  </si>
  <si>
    <r>
      <rPr>
        <sz val="9"/>
        <color rgb="FF8A8680"/>
        <rFont val="Arial"/>
        <family val="0"/>
        <charset val="1"/>
      </rPr>
      <t xml:space="preserve">Phase 1</t>
    </r>
    <r>
      <rPr>
        <sz val="9"/>
        <color rgb="FF8A8680"/>
        <rFont val="Noto Sans CJK SC"/>
        <family val="2"/>
      </rPr>
      <t xml:space="preserve">〜</t>
    </r>
  </si>
  <si>
    <r>
      <rPr>
        <sz val="9"/>
        <color rgb="FF8A8680"/>
        <rFont val="Arial"/>
        <family val="0"/>
        <charset val="1"/>
      </rPr>
      <t xml:space="preserve">$20/</t>
    </r>
    <r>
      <rPr>
        <sz val="9"/>
        <color rgb="FF8A8680"/>
        <rFont val="Noto Sans CJK SC"/>
        <family val="2"/>
      </rPr>
      <t xml:space="preserve">月。ホスティング。</t>
    </r>
  </si>
  <si>
    <t xml:space="preserve">Supabase Pro</t>
  </si>
  <si>
    <r>
      <rPr>
        <sz val="9"/>
        <color rgb="FF8A8680"/>
        <rFont val="Arial"/>
        <family val="0"/>
        <charset val="1"/>
      </rPr>
      <t xml:space="preserve">$25/</t>
    </r>
    <r>
      <rPr>
        <sz val="9"/>
        <color rgb="FF8A8680"/>
        <rFont val="Noto Sans CJK SC"/>
        <family val="2"/>
      </rPr>
      <t xml:space="preserve">月。</t>
    </r>
    <r>
      <rPr>
        <sz val="9"/>
        <color rgb="FF8A8680"/>
        <rFont val="Arial"/>
        <family val="0"/>
        <charset val="1"/>
      </rPr>
      <t xml:space="preserve">DB</t>
    </r>
    <r>
      <rPr>
        <sz val="9"/>
        <color rgb="FF8A8680"/>
        <rFont val="Noto Sans CJK SC"/>
        <family val="2"/>
      </rPr>
      <t xml:space="preserve">・認証。</t>
    </r>
  </si>
  <si>
    <r>
      <rPr>
        <sz val="10"/>
        <color rgb="FF0A0A0C"/>
        <rFont val="Arial"/>
        <family val="0"/>
        <charset val="1"/>
      </rPr>
      <t xml:space="preserve">AI API</t>
    </r>
    <r>
      <rPr>
        <sz val="10"/>
        <color rgb="FF0A0A0C"/>
        <rFont val="Noto Sans CJK SC"/>
        <family val="2"/>
      </rPr>
      <t xml:space="preserve">（</t>
    </r>
    <r>
      <rPr>
        <sz val="10"/>
        <color rgb="FF0A0A0C"/>
        <rFont val="Arial"/>
        <family val="0"/>
        <charset val="1"/>
      </rPr>
      <t xml:space="preserve">Claude / OpenAI</t>
    </r>
    <r>
      <rPr>
        <sz val="10"/>
        <color rgb="FF0A0A0C"/>
        <rFont val="Noto Sans CJK SC"/>
        <family val="2"/>
      </rPr>
      <t xml:space="preserve">）</t>
    </r>
  </si>
  <si>
    <t xml:space="preserve">従量課金。ユーザー数に応じて変動。</t>
  </si>
  <si>
    <r>
      <rPr>
        <sz val="10"/>
        <color rgb="FF0A0A0C"/>
        <rFont val="Noto Sans CJK SC"/>
        <family val="2"/>
      </rPr>
      <t xml:space="preserve">ドメイン・</t>
    </r>
    <r>
      <rPr>
        <sz val="10"/>
        <color rgb="FF0A0A0C"/>
        <rFont val="Arial"/>
        <family val="0"/>
        <charset val="1"/>
      </rPr>
      <t xml:space="preserve">DNS</t>
    </r>
  </si>
  <si>
    <r>
      <rPr>
        <sz val="9"/>
        <color rgb="FF8A8680"/>
        <rFont val="Noto Sans CJK SC"/>
        <family val="2"/>
      </rPr>
      <t xml:space="preserve">年間 </t>
    </r>
    <r>
      <rPr>
        <sz val="9"/>
        <color rgb="FF8A8680"/>
        <rFont val="Arial"/>
        <family val="0"/>
        <charset val="1"/>
      </rPr>
      <t xml:space="preserve">¥2,400</t>
    </r>
    <r>
      <rPr>
        <sz val="9"/>
        <color rgb="FF8A8680"/>
        <rFont val="Noto Sans CJK SC"/>
        <family val="2"/>
      </rPr>
      <t xml:space="preserve">。月割。</t>
    </r>
  </si>
  <si>
    <r>
      <rPr>
        <sz val="10"/>
        <color rgb="FF0A0A0C"/>
        <rFont val="Arial"/>
        <family val="0"/>
        <charset val="1"/>
      </rPr>
      <t xml:space="preserve">Stripe</t>
    </r>
    <r>
      <rPr>
        <sz val="10"/>
        <color rgb="FF0A0A0C"/>
        <rFont val="Noto Sans CJK SC"/>
        <family val="2"/>
      </rPr>
      <t xml:space="preserve">手数料</t>
    </r>
  </si>
  <si>
    <r>
      <rPr>
        <sz val="9"/>
        <color rgb="FF8A8680"/>
        <rFont val="Arial"/>
        <family val="0"/>
        <charset val="1"/>
      </rPr>
      <t xml:space="preserve">Phase 2</t>
    </r>
    <r>
      <rPr>
        <sz val="9"/>
        <color rgb="FF8A8680"/>
        <rFont val="Noto Sans CJK SC"/>
        <family val="2"/>
      </rPr>
      <t xml:space="preserve">〜</t>
    </r>
  </si>
  <si>
    <r>
      <rPr>
        <sz val="9"/>
        <color rgb="FF8A8680"/>
        <rFont val="Noto Sans CJK SC"/>
        <family val="2"/>
      </rPr>
      <t xml:space="preserve">売上の</t>
    </r>
    <r>
      <rPr>
        <sz val="9"/>
        <color rgb="FF8A8680"/>
        <rFont val="Arial"/>
        <family val="0"/>
        <charset val="1"/>
      </rPr>
      <t xml:space="preserve">3.6%</t>
    </r>
    <r>
      <rPr>
        <sz val="9"/>
        <color rgb="FF8A8680"/>
        <rFont val="Noto Sans CJK SC"/>
        <family val="2"/>
      </rPr>
      <t xml:space="preserve">。売上連動。</t>
    </r>
  </si>
  <si>
    <t xml:space="preserve">広告費</t>
  </si>
  <si>
    <r>
      <rPr>
        <sz val="9"/>
        <color rgb="FF8A8680"/>
        <rFont val="Arial"/>
        <family val="0"/>
        <charset val="1"/>
      </rPr>
      <t xml:space="preserve">Phase 3</t>
    </r>
    <r>
      <rPr>
        <sz val="9"/>
        <color rgb="FF8A8680"/>
        <rFont val="Noto Sans CJK SC"/>
        <family val="2"/>
      </rPr>
      <t xml:space="preserve">〜</t>
    </r>
  </si>
  <si>
    <r>
      <rPr>
        <sz val="9"/>
        <color rgb="FF8A8680"/>
        <rFont val="Noto Sans CJK SC"/>
        <family val="2"/>
      </rPr>
      <t xml:space="preserve">月</t>
    </r>
    <r>
      <rPr>
        <sz val="9"/>
        <color rgb="FF8A8680"/>
        <rFont val="Arial"/>
        <family val="0"/>
        <charset val="1"/>
      </rPr>
      <t xml:space="preserve">5</t>
    </r>
    <r>
      <rPr>
        <sz val="9"/>
        <color rgb="FF8A8680"/>
        <rFont val="Noto Sans CJK SC"/>
        <family val="2"/>
      </rPr>
      <t xml:space="preserve">〜</t>
    </r>
    <r>
      <rPr>
        <sz val="9"/>
        <color rgb="FF8A8680"/>
        <rFont val="Arial"/>
        <family val="0"/>
        <charset val="1"/>
      </rPr>
      <t xml:space="preserve">10</t>
    </r>
    <r>
      <rPr>
        <sz val="9"/>
        <color rgb="FF8A8680"/>
        <rFont val="Noto Sans CJK SC"/>
        <family val="2"/>
      </rPr>
      <t xml:space="preserve">万円想定。成長フェーズで投入。</t>
    </r>
  </si>
  <si>
    <t xml:space="preserve">その他（ツール等）</t>
  </si>
  <si>
    <r>
      <rPr>
        <sz val="9"/>
        <color rgb="FF8A8680"/>
        <rFont val="Arial"/>
        <family val="0"/>
        <charset val="1"/>
      </rPr>
      <t xml:space="preserve">GitHub</t>
    </r>
    <r>
      <rPr>
        <sz val="9"/>
        <color rgb="FF8A8680"/>
        <rFont val="Noto Sans CJK SC"/>
        <family val="2"/>
      </rPr>
      <t xml:space="preserve">、</t>
    </r>
    <r>
      <rPr>
        <sz val="9"/>
        <color rgb="FF8A8680"/>
        <rFont val="Arial"/>
        <family val="0"/>
        <charset val="1"/>
      </rPr>
      <t xml:space="preserve">Figma</t>
    </r>
    <r>
      <rPr>
        <sz val="9"/>
        <color rgb="FF8A8680"/>
        <rFont val="Noto Sans CJK SC"/>
        <family val="2"/>
      </rPr>
      <t xml:space="preserve">、メール配信等。</t>
    </r>
  </si>
  <si>
    <r>
      <rPr>
        <b val="true"/>
        <sz val="11"/>
        <color rgb="FF0A0A0C"/>
        <rFont val="Noto Sans CJK SC"/>
        <family val="2"/>
      </rPr>
      <t xml:space="preserve">成長前提（</t>
    </r>
    <r>
      <rPr>
        <b val="true"/>
        <sz val="11"/>
        <color rgb="FF0A0A0C"/>
        <rFont val="Arial"/>
        <family val="0"/>
        <charset val="1"/>
      </rPr>
      <t xml:space="preserve">3</t>
    </r>
    <r>
      <rPr>
        <b val="true"/>
        <sz val="11"/>
        <color rgb="FF0A0A0C"/>
        <rFont val="Noto Sans CJK SC"/>
        <family val="2"/>
      </rPr>
      <t xml:space="preserve">シナリオ）</t>
    </r>
  </si>
  <si>
    <t xml:space="preserve">指標</t>
  </si>
  <si>
    <t xml:space="preserve">Conservative</t>
  </si>
  <si>
    <t xml:space="preserve">Base</t>
  </si>
  <si>
    <t xml:space="preserve">Optimistic</t>
  </si>
  <si>
    <t xml:space="preserve">月間新規登録ユーザー（初月）</t>
  </si>
  <si>
    <t xml:space="preserve">月間新規登録の月次成長率</t>
  </si>
  <si>
    <t xml:space="preserve">10%</t>
  </si>
  <si>
    <t xml:space="preserve">15%</t>
  </si>
  <si>
    <t xml:space="preserve">20%</t>
  </si>
  <si>
    <r>
      <rPr>
        <sz val="10"/>
        <color rgb="FF0A0A0C"/>
        <rFont val="Noto Sans CJK SC"/>
        <family val="2"/>
      </rPr>
      <t xml:space="preserve">無料→</t>
    </r>
    <r>
      <rPr>
        <sz val="10"/>
        <color rgb="FF0A0A0C"/>
        <rFont val="Arial"/>
        <family val="0"/>
        <charset val="1"/>
      </rPr>
      <t xml:space="preserve">Pro</t>
    </r>
    <r>
      <rPr>
        <sz val="10"/>
        <color rgb="FF0A0A0C"/>
        <rFont val="Noto Sans CJK SC"/>
        <family val="2"/>
      </rPr>
      <t xml:space="preserve">転換率</t>
    </r>
  </si>
  <si>
    <t xml:space="preserve">2.0%</t>
  </si>
  <si>
    <t xml:space="preserve">3.5%</t>
  </si>
  <si>
    <t xml:space="preserve">5.0%</t>
  </si>
  <si>
    <r>
      <rPr>
        <sz val="10"/>
        <color rgb="FF0A0A0C"/>
        <rFont val="Arial"/>
        <family val="0"/>
        <charset val="1"/>
      </rPr>
      <t xml:space="preserve">Pro</t>
    </r>
    <r>
      <rPr>
        <sz val="10"/>
        <color rgb="FF0A0A0C"/>
        <rFont val="Noto Sans CJK SC"/>
        <family val="2"/>
      </rPr>
      <t xml:space="preserve">月次チャーン率</t>
    </r>
  </si>
  <si>
    <t xml:space="preserve">4.0%</t>
  </si>
  <si>
    <t xml:space="preserve">3.0%</t>
  </si>
  <si>
    <r>
      <rPr>
        <sz val="10"/>
        <color rgb="FF0A0A0C"/>
        <rFont val="Noto Sans CJK SC"/>
        <family val="2"/>
      </rPr>
      <t xml:space="preserve">年額プラン比率（</t>
    </r>
    <r>
      <rPr>
        <sz val="10"/>
        <color rgb="FF0A0A0C"/>
        <rFont val="Arial"/>
        <family val="0"/>
        <charset val="1"/>
      </rPr>
      <t xml:space="preserve">Pro</t>
    </r>
    <r>
      <rPr>
        <sz val="10"/>
        <color rgb="FF0A0A0C"/>
        <rFont val="Noto Sans CJK SC"/>
        <family val="2"/>
      </rPr>
      <t xml:space="preserve">内）</t>
    </r>
  </si>
  <si>
    <t xml:space="preserve">30%</t>
  </si>
  <si>
    <t xml:space="preserve">40%</t>
  </si>
  <si>
    <t xml:space="preserve">50%</t>
  </si>
  <si>
    <r>
      <rPr>
        <sz val="10"/>
        <color rgb="FF0A0A0C"/>
        <rFont val="Noto Sans CJK SC"/>
        <family val="2"/>
      </rPr>
      <t xml:space="preserve">月間</t>
    </r>
    <r>
      <rPr>
        <sz val="10"/>
        <color rgb="FF0A0A0C"/>
        <rFont val="Arial"/>
        <family val="0"/>
        <charset val="1"/>
      </rPr>
      <t xml:space="preserve">ARPU</t>
    </r>
    <r>
      <rPr>
        <sz val="10"/>
        <color rgb="FF0A0A0C"/>
        <rFont val="Noto Sans CJK SC"/>
        <family val="2"/>
      </rPr>
      <t xml:space="preserve">（</t>
    </r>
    <r>
      <rPr>
        <sz val="10"/>
        <color rgb="FF0A0A0C"/>
        <rFont val="Arial"/>
        <family val="0"/>
        <charset val="1"/>
      </rPr>
      <t xml:space="preserve">Pro</t>
    </r>
    <r>
      <rPr>
        <sz val="10"/>
        <color rgb="FF0A0A0C"/>
        <rFont val="Noto Sans CJK SC"/>
        <family val="2"/>
      </rPr>
      <t xml:space="preserve">平均）</t>
    </r>
  </si>
  <si>
    <r>
      <rPr>
        <sz val="9"/>
        <color rgb="FF8A8680"/>
        <rFont val="Arial"/>
        <family val="0"/>
        <charset val="1"/>
      </rPr>
      <t xml:space="preserve">※ ARPU = </t>
    </r>
    <r>
      <rPr>
        <sz val="9"/>
        <color rgb="FF8A8680"/>
        <rFont val="Noto Sans CJK SC"/>
        <family val="2"/>
      </rPr>
      <t xml:space="preserve">月額</t>
    </r>
    <r>
      <rPr>
        <sz val="9"/>
        <color rgb="FF8A8680"/>
        <rFont val="Arial"/>
        <family val="0"/>
        <charset val="1"/>
      </rPr>
      <t xml:space="preserve">¥800</t>
    </r>
    <r>
      <rPr>
        <sz val="9"/>
        <color rgb="FF8A8680"/>
        <rFont val="Noto Sans CJK SC"/>
        <family val="2"/>
      </rPr>
      <t xml:space="preserve">と年額</t>
    </r>
    <r>
      <rPr>
        <sz val="9"/>
        <color rgb="FF8A8680"/>
        <rFont val="Arial"/>
        <family val="0"/>
        <charset val="1"/>
      </rPr>
      <t xml:space="preserve">¥6,800(</t>
    </r>
    <r>
      <rPr>
        <sz val="9"/>
        <color rgb="FF8A8680"/>
        <rFont val="Noto Sans CJK SC"/>
        <family val="2"/>
      </rPr>
      <t xml:space="preserve">月換算</t>
    </r>
    <r>
      <rPr>
        <sz val="9"/>
        <color rgb="FF8A8680"/>
        <rFont val="Arial"/>
        <family val="0"/>
        <charset val="1"/>
      </rPr>
      <t xml:space="preserve">¥567)</t>
    </r>
    <r>
      <rPr>
        <sz val="9"/>
        <color rgb="FF8A8680"/>
        <rFont val="Noto Sans CJK SC"/>
        <family val="2"/>
      </rPr>
      <t xml:space="preserve">の加重平均</t>
    </r>
  </si>
  <si>
    <r>
      <rPr>
        <sz val="9"/>
        <color rgb="FF8A8680"/>
        <rFont val="Noto Sans CJK SC"/>
        <family val="2"/>
      </rPr>
      <t xml:space="preserve">※ チャーン率 </t>
    </r>
    <r>
      <rPr>
        <sz val="9"/>
        <color rgb="FF8A8680"/>
        <rFont val="Arial"/>
        <family val="0"/>
        <charset val="1"/>
      </rPr>
      <t xml:space="preserve">= </t>
    </r>
    <r>
      <rPr>
        <sz val="9"/>
        <color rgb="FF8A8680"/>
        <rFont val="Noto Sans CJK SC"/>
        <family val="2"/>
      </rPr>
      <t xml:space="preserve">月次解約率。年額プランは</t>
    </r>
    <r>
      <rPr>
        <sz val="9"/>
        <color rgb="FF8A8680"/>
        <rFont val="Arial"/>
        <family val="0"/>
        <charset val="1"/>
      </rPr>
      <t xml:space="preserve">12</t>
    </r>
    <r>
      <rPr>
        <sz val="9"/>
        <color rgb="FF8A8680"/>
        <rFont val="Noto Sans CJK SC"/>
        <family val="2"/>
      </rPr>
      <t xml:space="preserve">ヶ月ロック。</t>
    </r>
  </si>
  <si>
    <r>
      <rPr>
        <sz val="9"/>
        <color rgb="FF8A8680"/>
        <rFont val="Noto Sans CJK SC"/>
        <family val="2"/>
      </rPr>
      <t xml:space="preserve">※ 成長率は</t>
    </r>
    <r>
      <rPr>
        <sz val="9"/>
        <color rgb="FF8A8680"/>
        <rFont val="Arial"/>
        <family val="0"/>
        <charset val="1"/>
      </rPr>
      <t xml:space="preserve">SNS</t>
    </r>
    <r>
      <rPr>
        <sz val="9"/>
        <color rgb="FF8A8680"/>
        <rFont val="Noto Sans CJK SC"/>
        <family val="2"/>
      </rPr>
      <t xml:space="preserve">口コミ・</t>
    </r>
    <r>
      <rPr>
        <sz val="9"/>
        <color rgb="FF8A8680"/>
        <rFont val="Arial"/>
        <family val="0"/>
        <charset val="1"/>
      </rPr>
      <t xml:space="preserve">SEO</t>
    </r>
    <r>
      <rPr>
        <sz val="9"/>
        <color rgb="FF8A8680"/>
        <rFont val="Noto Sans CJK SC"/>
        <family val="2"/>
      </rPr>
      <t xml:space="preserve">によるオーガニック成長を前提。</t>
    </r>
    <r>
      <rPr>
        <sz val="9"/>
        <color rgb="FF8A8680"/>
        <rFont val="Arial"/>
        <family val="0"/>
        <charset val="1"/>
      </rPr>
      <t xml:space="preserve">Phase 3</t>
    </r>
    <r>
      <rPr>
        <sz val="9"/>
        <color rgb="FF8A8680"/>
        <rFont val="Noto Sans CJK SC"/>
        <family val="2"/>
      </rPr>
      <t xml:space="preserve">で広告投入後に加速。</t>
    </r>
  </si>
  <si>
    <r>
      <rPr>
        <b val="true"/>
        <sz val="20"/>
        <color rgb="FF0A0A0C"/>
        <rFont val="Arial"/>
        <family val="0"/>
        <charset val="1"/>
      </rPr>
      <t xml:space="preserve">CHRONOS — 18</t>
    </r>
    <r>
      <rPr>
        <b val="true"/>
        <sz val="20"/>
        <color rgb="FF0A0A0C"/>
        <rFont val="Noto Sans CJK SC"/>
        <family val="2"/>
      </rPr>
      <t xml:space="preserve">ヶ月収支計画（</t>
    </r>
    <r>
      <rPr>
        <b val="true"/>
        <sz val="20"/>
        <color rgb="FF0A0A0C"/>
        <rFont val="Arial"/>
        <family val="0"/>
        <charset val="1"/>
      </rPr>
      <t xml:space="preserve">Base Case</t>
    </r>
    <r>
      <rPr>
        <b val="true"/>
        <sz val="20"/>
        <color rgb="FF0A0A0C"/>
        <rFont val="Noto Sans CJK SC"/>
        <family val="2"/>
      </rPr>
      <t xml:space="preserve">）</t>
    </r>
  </si>
  <si>
    <r>
      <rPr>
        <sz val="11"/>
        <color rgb="FF8A8680"/>
        <rFont val="Noto Sans CJK SC"/>
        <family val="2"/>
      </rPr>
      <t xml:space="preserve">フリーミアム </t>
    </r>
    <r>
      <rPr>
        <sz val="11"/>
        <color rgb="FF8A8680"/>
        <rFont val="Arial"/>
        <family val="0"/>
        <charset val="1"/>
      </rPr>
      <t xml:space="preserve">× </t>
    </r>
    <r>
      <rPr>
        <sz val="11"/>
        <color rgb="FF8A8680"/>
        <rFont val="Noto Sans CJK SC"/>
        <family val="2"/>
      </rPr>
      <t xml:space="preserve">サブスク  </t>
    </r>
    <r>
      <rPr>
        <sz val="11"/>
        <color rgb="FF8A8680"/>
        <rFont val="Arial"/>
        <family val="0"/>
        <charset val="1"/>
      </rPr>
      <t xml:space="preserve">|  </t>
    </r>
    <r>
      <rPr>
        <sz val="11"/>
        <color rgb="FF8A8680"/>
        <rFont val="Noto Sans CJK SC"/>
        <family val="2"/>
      </rPr>
      <t xml:space="preserve">買い切りなし  </t>
    </r>
    <r>
      <rPr>
        <sz val="11"/>
        <color rgb="FF8A8680"/>
        <rFont val="Arial"/>
        <family val="0"/>
        <charset val="1"/>
      </rPr>
      <t xml:space="preserve">|  </t>
    </r>
    <r>
      <rPr>
        <sz val="11"/>
        <color rgb="FF8A8680"/>
        <rFont val="Noto Sans CJK SC"/>
        <family val="2"/>
      </rPr>
      <t xml:space="preserve">単位：円</t>
    </r>
  </si>
  <si>
    <r>
      <rPr>
        <b val="true"/>
        <sz val="9"/>
        <color rgb="FFFFFFFF"/>
        <rFont val="Arial"/>
        <family val="0"/>
        <charset val="1"/>
      </rPr>
      <t xml:space="preserve">4</t>
    </r>
    <r>
      <rPr>
        <b val="true"/>
        <sz val="9"/>
        <color rgb="FFFFFFFF"/>
        <rFont val="Noto Sans CJK SC"/>
        <family val="2"/>
      </rPr>
      <t xml:space="preserve">月</t>
    </r>
  </si>
  <si>
    <r>
      <rPr>
        <b val="true"/>
        <sz val="9"/>
        <color rgb="FFFFFFFF"/>
        <rFont val="Arial"/>
        <family val="0"/>
        <charset val="1"/>
      </rPr>
      <t xml:space="preserve">5</t>
    </r>
    <r>
      <rPr>
        <b val="true"/>
        <sz val="9"/>
        <color rgb="FFFFFFFF"/>
        <rFont val="Noto Sans CJK SC"/>
        <family val="2"/>
      </rPr>
      <t xml:space="preserve">月</t>
    </r>
  </si>
  <si>
    <r>
      <rPr>
        <b val="true"/>
        <sz val="9"/>
        <color rgb="FFFFFFFF"/>
        <rFont val="Arial"/>
        <family val="0"/>
        <charset val="1"/>
      </rPr>
      <t xml:space="preserve">6</t>
    </r>
    <r>
      <rPr>
        <b val="true"/>
        <sz val="9"/>
        <color rgb="FFFFFFFF"/>
        <rFont val="Noto Sans CJK SC"/>
        <family val="2"/>
      </rPr>
      <t xml:space="preserve">月</t>
    </r>
  </si>
  <si>
    <r>
      <rPr>
        <b val="true"/>
        <sz val="9"/>
        <color rgb="FFFFFFFF"/>
        <rFont val="Arial"/>
        <family val="0"/>
        <charset val="1"/>
      </rPr>
      <t xml:space="preserve">7</t>
    </r>
    <r>
      <rPr>
        <b val="true"/>
        <sz val="9"/>
        <color rgb="FFFFFFFF"/>
        <rFont val="Noto Sans CJK SC"/>
        <family val="2"/>
      </rPr>
      <t xml:space="preserve">月</t>
    </r>
  </si>
  <si>
    <r>
      <rPr>
        <b val="true"/>
        <sz val="9"/>
        <color rgb="FFFFFFFF"/>
        <rFont val="Arial"/>
        <family val="0"/>
        <charset val="1"/>
      </rPr>
      <t xml:space="preserve">8</t>
    </r>
    <r>
      <rPr>
        <b val="true"/>
        <sz val="9"/>
        <color rgb="FFFFFFFF"/>
        <rFont val="Noto Sans CJK SC"/>
        <family val="2"/>
      </rPr>
      <t xml:space="preserve">月</t>
    </r>
  </si>
  <si>
    <r>
      <rPr>
        <b val="true"/>
        <sz val="9"/>
        <color rgb="FFFFFFFF"/>
        <rFont val="Arial"/>
        <family val="0"/>
        <charset val="1"/>
      </rPr>
      <t xml:space="preserve">9</t>
    </r>
    <r>
      <rPr>
        <b val="true"/>
        <sz val="9"/>
        <color rgb="FFFFFFFF"/>
        <rFont val="Noto Sans CJK SC"/>
        <family val="2"/>
      </rPr>
      <t xml:space="preserve">月</t>
    </r>
  </si>
  <si>
    <r>
      <rPr>
        <b val="true"/>
        <sz val="9"/>
        <color rgb="FFFFFFFF"/>
        <rFont val="Arial"/>
        <family val="0"/>
        <charset val="1"/>
      </rPr>
      <t xml:space="preserve">10</t>
    </r>
    <r>
      <rPr>
        <b val="true"/>
        <sz val="9"/>
        <color rgb="FFFFFFFF"/>
        <rFont val="Noto Sans CJK SC"/>
        <family val="2"/>
      </rPr>
      <t xml:space="preserve">月</t>
    </r>
  </si>
  <si>
    <r>
      <rPr>
        <b val="true"/>
        <sz val="9"/>
        <color rgb="FFFFFFFF"/>
        <rFont val="Arial"/>
        <family val="0"/>
        <charset val="1"/>
      </rPr>
      <t xml:space="preserve">11</t>
    </r>
    <r>
      <rPr>
        <b val="true"/>
        <sz val="9"/>
        <color rgb="FFFFFFFF"/>
        <rFont val="Noto Sans CJK SC"/>
        <family val="2"/>
      </rPr>
      <t xml:space="preserve">月</t>
    </r>
  </si>
  <si>
    <r>
      <rPr>
        <b val="true"/>
        <sz val="9"/>
        <color rgb="FFFFFFFF"/>
        <rFont val="Arial"/>
        <family val="0"/>
        <charset val="1"/>
      </rPr>
      <t xml:space="preserve">12</t>
    </r>
    <r>
      <rPr>
        <b val="true"/>
        <sz val="9"/>
        <color rgb="FFFFFFFF"/>
        <rFont val="Noto Sans CJK SC"/>
        <family val="2"/>
      </rPr>
      <t xml:space="preserve">月</t>
    </r>
  </si>
  <si>
    <r>
      <rPr>
        <b val="true"/>
        <sz val="9"/>
        <color rgb="FFFFFFFF"/>
        <rFont val="Arial"/>
        <family val="0"/>
        <charset val="1"/>
      </rPr>
      <t xml:space="preserve">1</t>
    </r>
    <r>
      <rPr>
        <b val="true"/>
        <sz val="9"/>
        <color rgb="FFFFFFFF"/>
        <rFont val="Noto Sans CJK SC"/>
        <family val="2"/>
      </rPr>
      <t xml:space="preserve">月</t>
    </r>
  </si>
  <si>
    <r>
      <rPr>
        <b val="true"/>
        <sz val="9"/>
        <color rgb="FFFFFFFF"/>
        <rFont val="Arial"/>
        <family val="0"/>
        <charset val="1"/>
      </rPr>
      <t xml:space="preserve">2</t>
    </r>
    <r>
      <rPr>
        <b val="true"/>
        <sz val="9"/>
        <color rgb="FFFFFFFF"/>
        <rFont val="Noto Sans CJK SC"/>
        <family val="2"/>
      </rPr>
      <t xml:space="preserve">月</t>
    </r>
  </si>
  <si>
    <r>
      <rPr>
        <b val="true"/>
        <sz val="9"/>
        <color rgb="FFFFFFFF"/>
        <rFont val="Arial"/>
        <family val="0"/>
        <charset val="1"/>
      </rPr>
      <t xml:space="preserve">3</t>
    </r>
    <r>
      <rPr>
        <b val="true"/>
        <sz val="9"/>
        <color rgb="FFFFFFFF"/>
        <rFont val="Noto Sans CJK SC"/>
        <family val="2"/>
      </rPr>
      <t xml:space="preserve">月</t>
    </r>
  </si>
  <si>
    <t xml:space="preserve">P0</t>
  </si>
  <si>
    <t xml:space="preserve">P1</t>
  </si>
  <si>
    <t xml:space="preserve">P2</t>
  </si>
  <si>
    <t xml:space="preserve">P3</t>
  </si>
  <si>
    <t xml:space="preserve">KPI</t>
  </si>
  <si>
    <t xml:space="preserve">新規登録ユーザー</t>
  </si>
  <si>
    <t xml:space="preserve">累計登録ユーザー</t>
  </si>
  <si>
    <r>
      <rPr>
        <sz val="10"/>
        <color rgb="FF0A0A0C"/>
        <rFont val="Noto Sans CJK SC"/>
        <family val="2"/>
      </rPr>
      <t xml:space="preserve">新規</t>
    </r>
    <r>
      <rPr>
        <sz val="10"/>
        <color rgb="FF0A0A0C"/>
        <rFont val="Arial"/>
        <family val="0"/>
        <charset val="1"/>
      </rPr>
      <t xml:space="preserve">Pro</t>
    </r>
    <r>
      <rPr>
        <sz val="10"/>
        <color rgb="FF0A0A0C"/>
        <rFont val="Noto Sans CJK SC"/>
        <family val="2"/>
      </rPr>
      <t xml:space="preserve">転換（月）</t>
    </r>
  </si>
  <si>
    <r>
      <rPr>
        <sz val="10"/>
        <color rgb="FF0A0A0C"/>
        <rFont val="Arial"/>
        <family val="0"/>
        <charset val="1"/>
      </rPr>
      <t xml:space="preserve">Pro</t>
    </r>
    <r>
      <rPr>
        <sz val="10"/>
        <color rgb="FF0A0A0C"/>
        <rFont val="Noto Sans CJK SC"/>
        <family val="2"/>
      </rPr>
      <t xml:space="preserve">解約（月）</t>
    </r>
  </si>
  <si>
    <r>
      <rPr>
        <sz val="10"/>
        <color rgb="FF0A0A0C"/>
        <rFont val="Arial"/>
        <family val="0"/>
        <charset val="1"/>
      </rPr>
      <t xml:space="preserve">Pro</t>
    </r>
    <r>
      <rPr>
        <sz val="10"/>
        <color rgb="FF0A0A0C"/>
        <rFont val="Noto Sans CJK SC"/>
        <family val="2"/>
      </rPr>
      <t xml:space="preserve">会員数</t>
    </r>
  </si>
  <si>
    <t xml:space="preserve">無料会員数</t>
  </si>
  <si>
    <r>
      <rPr>
        <sz val="10"/>
        <color rgb="FF0A0A0C"/>
        <rFont val="Arial"/>
        <family val="0"/>
        <charset val="1"/>
      </rPr>
      <t xml:space="preserve">Pro</t>
    </r>
    <r>
      <rPr>
        <sz val="10"/>
        <color rgb="FF0A0A0C"/>
        <rFont val="Noto Sans CJK SC"/>
        <family val="2"/>
      </rPr>
      <t xml:space="preserve">転換率（累計比）</t>
    </r>
  </si>
  <si>
    <t xml:space="preserve">売上</t>
  </si>
  <si>
    <r>
      <rPr>
        <sz val="10"/>
        <color rgb="FF0A0A0C"/>
        <rFont val="Arial"/>
        <family val="0"/>
        <charset val="1"/>
      </rPr>
      <t xml:space="preserve">Pro</t>
    </r>
    <r>
      <rPr>
        <sz val="10"/>
        <color rgb="FF0A0A0C"/>
        <rFont val="Noto Sans CJK SC"/>
        <family val="2"/>
      </rPr>
      <t xml:space="preserve">月額売上</t>
    </r>
  </si>
  <si>
    <r>
      <rPr>
        <b val="true"/>
        <sz val="10"/>
        <color rgb="FF0A0A0C"/>
        <rFont val="Noto Sans CJK SC"/>
        <family val="2"/>
      </rPr>
      <t xml:space="preserve">合計売上（</t>
    </r>
    <r>
      <rPr>
        <b val="true"/>
        <sz val="10"/>
        <color rgb="FF0A0A0C"/>
        <rFont val="Arial"/>
        <family val="0"/>
        <charset val="1"/>
      </rPr>
      <t xml:space="preserve">MRR</t>
    </r>
    <r>
      <rPr>
        <b val="true"/>
        <sz val="10"/>
        <color rgb="FF0A0A0C"/>
        <rFont val="Noto Sans CJK SC"/>
        <family val="2"/>
      </rPr>
      <t xml:space="preserve">）</t>
    </r>
  </si>
  <si>
    <t xml:space="preserve">コスト</t>
  </si>
  <si>
    <t xml:space="preserve">エンジニア報酬</t>
  </si>
  <si>
    <t xml:space="preserve">AI API</t>
  </si>
  <si>
    <r>
      <rPr>
        <sz val="10"/>
        <color rgb="FF0A0A0C"/>
        <rFont val="Arial"/>
        <family val="0"/>
        <charset val="1"/>
      </rPr>
      <t xml:space="preserve">Stripe</t>
    </r>
    <r>
      <rPr>
        <sz val="10"/>
        <color rgb="FF0A0A0C"/>
        <rFont val="Noto Sans CJK SC"/>
        <family val="2"/>
      </rPr>
      <t xml:space="preserve">手数料</t>
    </r>
    <r>
      <rPr>
        <sz val="10"/>
        <color rgb="FF0A0A0C"/>
        <rFont val="Arial"/>
        <family val="0"/>
        <charset val="1"/>
      </rPr>
      <t xml:space="preserve">(3.6%)</t>
    </r>
  </si>
  <si>
    <t xml:space="preserve">その他ツール</t>
  </si>
  <si>
    <t xml:space="preserve">合計コスト</t>
  </si>
  <si>
    <t xml:space="preserve">損益</t>
  </si>
  <si>
    <t xml:space="preserve">月次損益</t>
  </si>
  <si>
    <t xml:space="preserve">累計損益</t>
  </si>
  <si>
    <t xml:space="preserve">主要指標</t>
  </si>
  <si>
    <t xml:space="preserve">MRR</t>
  </si>
  <si>
    <r>
      <rPr>
        <sz val="10"/>
        <color rgb="FF0A0A0C"/>
        <rFont val="Arial"/>
        <family val="0"/>
        <charset val="1"/>
      </rPr>
      <t xml:space="preserve">ARR</t>
    </r>
    <r>
      <rPr>
        <sz val="10"/>
        <color rgb="FF0A0A0C"/>
        <rFont val="Noto Sans CJK SC"/>
        <family val="2"/>
      </rPr>
      <t xml:space="preserve">（年換算）</t>
    </r>
  </si>
  <si>
    <r>
      <rPr>
        <sz val="10"/>
        <color rgb="FF0A0A0C"/>
        <rFont val="Arial"/>
        <family val="0"/>
        <charset val="1"/>
      </rPr>
      <t xml:space="preserve">LTV</t>
    </r>
    <r>
      <rPr>
        <sz val="10"/>
        <color rgb="FF0A0A0C"/>
        <rFont val="Noto Sans CJK SC"/>
        <family val="2"/>
      </rPr>
      <t xml:space="preserve">（推定）</t>
    </r>
  </si>
  <si>
    <r>
      <rPr>
        <b val="true"/>
        <sz val="20"/>
        <color rgb="FF0A0A0C"/>
        <rFont val="Arial"/>
        <family val="0"/>
        <charset val="1"/>
      </rPr>
      <t xml:space="preserve">CHRONOS — </t>
    </r>
    <r>
      <rPr>
        <b val="true"/>
        <sz val="20"/>
        <color rgb="FF0A0A0C"/>
        <rFont val="Noto Sans CJK SC"/>
        <family val="2"/>
      </rPr>
      <t xml:space="preserve">シナリオ比較サマリー</t>
    </r>
  </si>
  <si>
    <r>
      <rPr>
        <sz val="11"/>
        <color rgb="FF8A8680"/>
        <rFont val="Arial"/>
        <family val="0"/>
        <charset val="1"/>
      </rPr>
      <t xml:space="preserve">18</t>
    </r>
    <r>
      <rPr>
        <sz val="11"/>
        <color rgb="FF8A8680"/>
        <rFont val="Noto Sans CJK SC"/>
        <family val="2"/>
      </rPr>
      <t xml:space="preserve">ヶ月時点での各シナリオ比較</t>
    </r>
  </si>
  <si>
    <r>
      <rPr>
        <sz val="10"/>
        <color rgb="FF0A0A0C"/>
        <rFont val="Arial"/>
        <family val="0"/>
        <charset val="1"/>
      </rPr>
      <t xml:space="preserve">Pro</t>
    </r>
    <r>
      <rPr>
        <sz val="10"/>
        <color rgb="FF0A0A0C"/>
        <rFont val="Noto Sans CJK SC"/>
        <family val="2"/>
      </rPr>
      <t xml:space="preserve">転換率</t>
    </r>
  </si>
  <si>
    <r>
      <rPr>
        <sz val="10"/>
        <color rgb="FF0A0A0C"/>
        <rFont val="Noto Sans CJK SC"/>
        <family val="2"/>
      </rPr>
      <t xml:space="preserve">月次売上（</t>
    </r>
    <r>
      <rPr>
        <sz val="10"/>
        <color rgb="FF0A0A0C"/>
        <rFont val="Arial"/>
        <family val="0"/>
        <charset val="1"/>
      </rPr>
      <t xml:space="preserve">MRR</t>
    </r>
    <r>
      <rPr>
        <sz val="10"/>
        <color rgb="FF0A0A0C"/>
        <rFont val="Noto Sans CJK SC"/>
        <family val="2"/>
      </rPr>
      <t xml:space="preserve">）</t>
    </r>
  </si>
  <si>
    <r>
      <rPr>
        <sz val="10"/>
        <color rgb="FF0A0A0C"/>
        <rFont val="Noto Sans CJK SC"/>
        <family val="2"/>
      </rPr>
      <t xml:space="preserve">年間売上換算（</t>
    </r>
    <r>
      <rPr>
        <sz val="10"/>
        <color rgb="FF0A0A0C"/>
        <rFont val="Arial"/>
        <family val="0"/>
        <charset val="1"/>
      </rPr>
      <t xml:space="preserve">ARR</t>
    </r>
    <r>
      <rPr>
        <sz val="10"/>
        <color rgb="FF0A0A0C"/>
        <rFont val="Noto Sans CJK SC"/>
        <family val="2"/>
      </rPr>
      <t xml:space="preserve">）</t>
    </r>
  </si>
  <si>
    <r>
      <rPr>
        <sz val="10"/>
        <color rgb="FF0A0A0C"/>
        <rFont val="Arial"/>
        <family val="0"/>
        <charset val="1"/>
      </rPr>
      <t xml:space="preserve">18</t>
    </r>
    <r>
      <rPr>
        <sz val="10"/>
        <color rgb="FF0A0A0C"/>
        <rFont val="Noto Sans CJK SC"/>
        <family val="2"/>
      </rPr>
      <t xml:space="preserve">ヶ月累計売上</t>
    </r>
  </si>
  <si>
    <r>
      <rPr>
        <sz val="10"/>
        <color rgb="FF0A0A0C"/>
        <rFont val="Arial"/>
        <family val="0"/>
        <charset val="1"/>
      </rPr>
      <t xml:space="preserve">18</t>
    </r>
    <r>
      <rPr>
        <sz val="10"/>
        <color rgb="FF0A0A0C"/>
        <rFont val="Noto Sans CJK SC"/>
        <family val="2"/>
      </rPr>
      <t xml:space="preserve">ヶ月累計コスト</t>
    </r>
  </si>
  <si>
    <r>
      <rPr>
        <b val="true"/>
        <sz val="10"/>
        <color rgb="FF0A0A0C"/>
        <rFont val="Arial"/>
        <family val="0"/>
        <charset val="1"/>
      </rPr>
      <t xml:space="preserve">18</t>
    </r>
    <r>
      <rPr>
        <b val="true"/>
        <sz val="10"/>
        <color rgb="FF0A0A0C"/>
        <rFont val="Noto Sans CJK SC"/>
        <family val="2"/>
      </rPr>
      <t xml:space="preserve">ヶ月累計損益</t>
    </r>
  </si>
  <si>
    <r>
      <rPr>
        <sz val="10"/>
        <color rgb="FF0A0A0C"/>
        <rFont val="Noto Sans CJK SC"/>
        <family val="2"/>
      </rPr>
      <t xml:space="preserve">推定</t>
    </r>
    <r>
      <rPr>
        <sz val="10"/>
        <color rgb="FF0A0A0C"/>
        <rFont val="Arial"/>
        <family val="0"/>
        <charset val="1"/>
      </rPr>
      <t xml:space="preserve">LTV</t>
    </r>
  </si>
  <si>
    <r>
      <rPr>
        <sz val="9"/>
        <color rgb="FF8A8680"/>
        <rFont val="Arial"/>
        <family val="0"/>
        <charset val="1"/>
      </rPr>
      <t xml:space="preserve">ARPU ÷ </t>
    </r>
    <r>
      <rPr>
        <sz val="9"/>
        <color rgb="FF8A8680"/>
        <rFont val="Noto Sans CJK SC"/>
        <family val="2"/>
      </rPr>
      <t xml:space="preserve">チャーン率</t>
    </r>
  </si>
  <si>
    <r>
      <rPr>
        <sz val="10"/>
        <color rgb="FF0A0A0C"/>
        <rFont val="Noto Sans CJK SC"/>
        <family val="2"/>
      </rPr>
      <t xml:space="preserve">推定</t>
    </r>
    <r>
      <rPr>
        <sz val="10"/>
        <color rgb="FF0A0A0C"/>
        <rFont val="Arial"/>
        <family val="0"/>
        <charset val="1"/>
      </rPr>
      <t xml:space="preserve">CAC</t>
    </r>
  </si>
  <si>
    <r>
      <rPr>
        <sz val="9"/>
        <color rgb="FF8A8680"/>
        <rFont val="Noto Sans CJK SC"/>
        <family val="2"/>
      </rPr>
      <t xml:space="preserve">累計コスト </t>
    </r>
    <r>
      <rPr>
        <sz val="9"/>
        <color rgb="FF8A8680"/>
        <rFont val="Arial"/>
        <family val="0"/>
        <charset val="1"/>
      </rPr>
      <t xml:space="preserve">÷ </t>
    </r>
    <r>
      <rPr>
        <sz val="9"/>
        <color rgb="FF8A8680"/>
        <rFont val="Noto Sans CJK SC"/>
        <family val="2"/>
      </rPr>
      <t xml:space="preserve">累計ユーザー</t>
    </r>
  </si>
  <si>
    <r>
      <rPr>
        <sz val="10"/>
        <color rgb="FF0A0A0C"/>
        <rFont val="Arial"/>
        <family val="0"/>
        <charset val="1"/>
      </rPr>
      <t xml:space="preserve">LTV/CAC</t>
    </r>
    <r>
      <rPr>
        <sz val="10"/>
        <color rgb="FF0A0A0C"/>
        <rFont val="Noto Sans CJK SC"/>
        <family val="2"/>
      </rPr>
      <t xml:space="preserve">比率</t>
    </r>
  </si>
  <si>
    <r>
      <rPr>
        <sz val="9"/>
        <color rgb="FF8A8680"/>
        <rFont val="Arial"/>
        <family val="0"/>
        <charset val="1"/>
      </rPr>
      <t xml:space="preserve">3.0x</t>
    </r>
    <r>
      <rPr>
        <sz val="9"/>
        <color rgb="FF8A8680"/>
        <rFont val="Noto Sans CJK SC"/>
        <family val="2"/>
      </rPr>
      <t xml:space="preserve">以上が健全の目安</t>
    </r>
  </si>
  <si>
    <t xml:space="preserve">損益分岐点の目安</t>
  </si>
  <si>
    <t xml:space="preserve">月次固定コスト（概算）</t>
  </si>
  <si>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¥165,000/</t>
    </r>
    <r>
      <rPr>
        <sz val="10"/>
        <color rgb="FF0000FF"/>
        <rFont val="Noto Sans CJK SC"/>
        <family val="2"/>
      </rPr>
      <t xml:space="preserve">月</t>
    </r>
  </si>
  <si>
    <t xml:space="preserve">エンジニア報酬＋インフラ＋ツール</t>
  </si>
  <si>
    <r>
      <rPr>
        <sz val="10"/>
        <color rgb="FF0A0A0C"/>
        <rFont val="Arial"/>
        <family val="0"/>
        <charset val="1"/>
      </rPr>
      <t xml:space="preserve">BEP</t>
    </r>
    <r>
      <rPr>
        <sz val="10"/>
        <color rgb="FF0A0A0C"/>
        <rFont val="Noto Sans CJK SC"/>
        <family val="2"/>
      </rPr>
      <t xml:space="preserve">必要</t>
    </r>
    <r>
      <rPr>
        <sz val="10"/>
        <color rgb="FF0A0A0C"/>
        <rFont val="Arial"/>
        <family val="0"/>
        <charset val="1"/>
      </rPr>
      <t xml:space="preserve">Pro</t>
    </r>
    <r>
      <rPr>
        <sz val="10"/>
        <color rgb="FF0A0A0C"/>
        <rFont val="Noto Sans CJK SC"/>
        <family val="2"/>
      </rPr>
      <t xml:space="preserve">会員数</t>
    </r>
  </si>
  <si>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236</t>
    </r>
    <r>
      <rPr>
        <sz val="10"/>
        <color rgb="FF0000FF"/>
        <rFont val="Noto Sans CJK SC"/>
        <family val="2"/>
      </rPr>
      <t xml:space="preserve">人</t>
    </r>
  </si>
  <si>
    <r>
      <rPr>
        <sz val="9"/>
        <color rgb="FF8A8680"/>
        <rFont val="Arial"/>
        <family val="0"/>
        <charset val="1"/>
      </rPr>
      <t xml:space="preserve">¥165,000 ÷ ¥700 = 236</t>
    </r>
    <r>
      <rPr>
        <sz val="9"/>
        <color rgb="FF8A8680"/>
        <rFont val="Noto Sans CJK SC"/>
        <family val="2"/>
      </rPr>
      <t xml:space="preserve">人</t>
    </r>
  </si>
  <si>
    <r>
      <rPr>
        <sz val="10"/>
        <color rgb="FF0A0A0C"/>
        <rFont val="Arial"/>
        <family val="0"/>
        <charset val="1"/>
      </rPr>
      <t xml:space="preserve">BEP</t>
    </r>
    <r>
      <rPr>
        <sz val="10"/>
        <color rgb="FF0A0A0C"/>
        <rFont val="Noto Sans CJK SC"/>
        <family val="2"/>
      </rPr>
      <t xml:space="preserve">到達予測（</t>
    </r>
    <r>
      <rPr>
        <sz val="10"/>
        <color rgb="FF0A0A0C"/>
        <rFont val="Arial"/>
        <family val="0"/>
        <charset val="1"/>
      </rPr>
      <t xml:space="preserve">Base</t>
    </r>
    <r>
      <rPr>
        <sz val="10"/>
        <color rgb="FF0A0A0C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</si>
  <si>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M15</t>
    </r>
    <r>
      <rPr>
        <sz val="10"/>
        <color rgb="FF0000FF"/>
        <rFont val="Noto Sans CJK SC"/>
        <family val="2"/>
      </rPr>
      <t xml:space="preserve">〜</t>
    </r>
    <r>
      <rPr>
        <sz val="10"/>
        <color rgb="FF0000FF"/>
        <rFont val="Arial"/>
        <family val="0"/>
        <charset val="1"/>
      </rPr>
      <t xml:space="preserve">M16</t>
    </r>
    <r>
      <rPr>
        <sz val="10"/>
        <color rgb="FF0000FF"/>
        <rFont val="Noto Sans CJK SC"/>
        <family val="2"/>
      </rPr>
      <t xml:space="preserve">頃</t>
    </r>
  </si>
  <si>
    <r>
      <rPr>
        <sz val="9"/>
        <color rgb="FF8A8680"/>
        <rFont val="Arial"/>
        <family val="0"/>
        <charset val="1"/>
      </rPr>
      <t xml:space="preserve">Phase 3</t>
    </r>
    <r>
      <rPr>
        <sz val="9"/>
        <color rgb="FF8A8680"/>
        <rFont val="Noto Sans CJK SC"/>
        <family val="2"/>
      </rPr>
      <t xml:space="preserve">初期。広告投入前後。</t>
    </r>
  </si>
  <si>
    <r>
      <rPr>
        <sz val="10"/>
        <color rgb="FF0A0A0C"/>
        <rFont val="Arial"/>
        <family val="0"/>
        <charset val="1"/>
      </rPr>
      <t xml:space="preserve">BEP</t>
    </r>
    <r>
      <rPr>
        <sz val="10"/>
        <color rgb="FF0A0A0C"/>
        <rFont val="Noto Sans CJK SC"/>
        <family val="2"/>
      </rPr>
      <t xml:space="preserve">到達予測（</t>
    </r>
    <r>
      <rPr>
        <sz val="10"/>
        <color rgb="FF0A0A0C"/>
        <rFont val="Arial"/>
        <family val="0"/>
        <charset val="1"/>
      </rPr>
      <t xml:space="preserve">Optimistic</t>
    </r>
    <r>
      <rPr>
        <sz val="10"/>
        <color rgb="FF0A0A0C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</si>
  <si>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M13</t>
    </r>
    <r>
      <rPr>
        <sz val="10"/>
        <color rgb="FF0000FF"/>
        <rFont val="Noto Sans CJK SC"/>
        <family val="2"/>
      </rPr>
      <t xml:space="preserve">頃</t>
    </r>
  </si>
  <si>
    <r>
      <rPr>
        <sz val="9"/>
        <color rgb="FF8A8680"/>
        <rFont val="Arial"/>
        <family val="0"/>
        <charset val="1"/>
      </rPr>
      <t xml:space="preserve">Phase 2</t>
    </r>
    <r>
      <rPr>
        <sz val="9"/>
        <color rgb="FF8A8680"/>
        <rFont val="Noto Sans CJK SC"/>
        <family val="2"/>
      </rPr>
      <t xml:space="preserve">後半。</t>
    </r>
  </si>
  <si>
    <t xml:space="preserve">判断のポイント</t>
  </si>
  <si>
    <t xml:space="preserve">1.</t>
  </si>
  <si>
    <r>
      <rPr>
        <sz val="10"/>
        <color rgb="FF0A0A0C"/>
        <rFont val="Noto Sans CJK SC"/>
        <family val="2"/>
      </rPr>
      <t xml:space="preserve">初期投資</t>
    </r>
    <r>
      <rPr>
        <sz val="10"/>
        <color rgb="FF0A0A0C"/>
        <rFont val="Arial"/>
        <family val="0"/>
        <charset val="1"/>
      </rPr>
      <t xml:space="preserve">50</t>
    </r>
    <r>
      <rPr>
        <sz val="10"/>
        <color rgb="FF0A0A0C"/>
        <rFont val="Noto Sans CJK SC"/>
        <family val="2"/>
      </rPr>
      <t xml:space="preserve">万円の回収：</t>
    </r>
    <r>
      <rPr>
        <sz val="10"/>
        <color rgb="FF0A0A0C"/>
        <rFont val="Arial"/>
        <family val="0"/>
        <charset val="1"/>
      </rPr>
      <t xml:space="preserve">Base</t>
    </r>
    <r>
      <rPr>
        <sz val="10"/>
        <color rgb="FF0A0A0C"/>
        <rFont val="Noto Sans CJK SC"/>
        <family val="2"/>
      </rPr>
      <t xml:space="preserve">ケースで</t>
    </r>
    <r>
      <rPr>
        <sz val="10"/>
        <color rgb="FF0A0A0C"/>
        <rFont val="Arial"/>
        <family val="0"/>
        <charset val="1"/>
      </rPr>
      <t xml:space="preserve">18</t>
    </r>
    <r>
      <rPr>
        <sz val="10"/>
        <color rgb="FF0A0A0C"/>
        <rFont val="Noto Sans CJK SC"/>
        <family val="2"/>
      </rPr>
      <t xml:space="preserve">ヶ月以内に回収可能。</t>
    </r>
  </si>
  <si>
    <t xml:space="preserve">2.</t>
  </si>
  <si>
    <r>
      <rPr>
        <sz val="10"/>
        <color rgb="FF0A0A0C"/>
        <rFont val="Noto Sans CJK SC"/>
        <family val="2"/>
      </rPr>
      <t xml:space="preserve">最大リスクはエンジニア報酬（月</t>
    </r>
    <r>
      <rPr>
        <sz val="10"/>
        <color rgb="FF0A0A0C"/>
        <rFont val="Arial"/>
        <family val="0"/>
        <charset val="1"/>
      </rPr>
      <t xml:space="preserve">15</t>
    </r>
    <r>
      <rPr>
        <sz val="10"/>
        <color rgb="FF0A0A0C"/>
        <rFont val="Noto Sans CJK SC"/>
        <family val="2"/>
      </rPr>
      <t xml:space="preserve">万円）。売上が立つまでの</t>
    </r>
    <r>
      <rPr>
        <sz val="10"/>
        <color rgb="FF0A0A0C"/>
        <rFont val="Arial"/>
        <family val="0"/>
        <charset val="1"/>
      </rPr>
      <t xml:space="preserve">8</t>
    </r>
    <r>
      <rPr>
        <sz val="10"/>
        <color rgb="FF0A0A0C"/>
        <rFont val="Noto Sans CJK SC"/>
        <family val="2"/>
      </rPr>
      <t xml:space="preserve">〜</t>
    </r>
    <r>
      <rPr>
        <sz val="10"/>
        <color rgb="FF0A0A0C"/>
        <rFont val="Arial"/>
        <family val="0"/>
        <charset val="1"/>
      </rPr>
      <t xml:space="preserve">10</t>
    </r>
    <r>
      <rPr>
        <sz val="10"/>
        <color rgb="FF0A0A0C"/>
        <rFont val="Noto Sans CJK SC"/>
        <family val="2"/>
      </rPr>
      <t xml:space="preserve">ヶ月が投資期間。</t>
    </r>
  </si>
  <si>
    <t xml:space="preserve">3.</t>
  </si>
  <si>
    <r>
      <rPr>
        <sz val="10"/>
        <color rgb="FF0A0A0C"/>
        <rFont val="Arial"/>
        <family val="0"/>
        <charset val="1"/>
      </rPr>
      <t xml:space="preserve">Phase 0</t>
    </r>
    <r>
      <rPr>
        <sz val="10"/>
        <color rgb="FF0A0A0C"/>
        <rFont val="Noto Sans CJK SC"/>
        <family val="2"/>
      </rPr>
      <t xml:space="preserve">の</t>
    </r>
    <r>
      <rPr>
        <sz val="10"/>
        <color rgb="FF0A0A0C"/>
        <rFont val="Arial"/>
        <family val="0"/>
        <charset val="1"/>
      </rPr>
      <t xml:space="preserve">LP</t>
    </r>
    <r>
      <rPr>
        <sz val="10"/>
        <color rgb="FF0A0A0C"/>
        <rFont val="Noto Sans CJK SC"/>
        <family val="2"/>
      </rPr>
      <t xml:space="preserve">検証で「ウェイトリスト</t>
    </r>
    <r>
      <rPr>
        <sz val="10"/>
        <color rgb="FF0A0A0C"/>
        <rFont val="Arial"/>
        <family val="0"/>
        <charset val="1"/>
      </rPr>
      <t xml:space="preserve">CVR 5%</t>
    </r>
    <r>
      <rPr>
        <sz val="10"/>
        <color rgb="FF0A0A0C"/>
        <rFont val="Noto Sans CJK SC"/>
        <family val="2"/>
      </rPr>
      <t xml:space="preserve">以上」が得られなければ、ピボットを検討。</t>
    </r>
  </si>
  <si>
    <t xml:space="preserve">4.</t>
  </si>
  <si>
    <r>
      <rPr>
        <sz val="10"/>
        <color rgb="FF0A0A0C"/>
        <rFont val="Arial"/>
        <family val="0"/>
        <charset val="1"/>
      </rPr>
      <t xml:space="preserve">Phase 2</t>
    </r>
    <r>
      <rPr>
        <sz val="10"/>
        <color rgb="FF0A0A0C"/>
        <rFont val="Noto Sans CJK SC"/>
        <family val="2"/>
      </rPr>
      <t xml:space="preserve">（いいね＋課金）開始後の</t>
    </r>
    <r>
      <rPr>
        <sz val="10"/>
        <color rgb="FF0A0A0C"/>
        <rFont val="Arial"/>
        <family val="0"/>
        <charset val="1"/>
      </rPr>
      <t xml:space="preserve">Pro</t>
    </r>
    <r>
      <rPr>
        <sz val="10"/>
        <color rgb="FF0A0A0C"/>
        <rFont val="Noto Sans CJK SC"/>
        <family val="2"/>
      </rPr>
      <t xml:space="preserve">転換率が</t>
    </r>
    <r>
      <rPr>
        <sz val="10"/>
        <color rgb="FF0A0A0C"/>
        <rFont val="Arial"/>
        <family val="0"/>
        <charset val="1"/>
      </rPr>
      <t xml:space="preserve">2%</t>
    </r>
    <r>
      <rPr>
        <sz val="10"/>
        <color rgb="FF0A0A0C"/>
        <rFont val="Noto Sans CJK SC"/>
        <family val="2"/>
      </rPr>
      <t xml:space="preserve">を下回る場合、価格設定の見直しが必要。</t>
    </r>
  </si>
  <si>
    <t xml:space="preserve">5.</t>
  </si>
  <si>
    <t xml:space="preserve">広告費は月次黒字化が見えてから投入。赤字拡大のリスクを抑える。</t>
  </si>
  <si>
    <t xml:space="preserve">6.</t>
  </si>
  <si>
    <r>
      <rPr>
        <sz val="10"/>
        <color rgb="FF0A0A0C"/>
        <rFont val="Noto Sans CJK SC"/>
        <family val="2"/>
      </rPr>
      <t xml:space="preserve">英語版（</t>
    </r>
    <r>
      <rPr>
        <sz val="10"/>
        <color rgb="FF0A0A0C"/>
        <rFont val="Arial"/>
        <family val="0"/>
        <charset val="1"/>
      </rPr>
      <t xml:space="preserve">Phase 3</t>
    </r>
    <r>
      <rPr>
        <sz val="10"/>
        <color rgb="FF0A0A0C"/>
        <rFont val="Noto Sans CJK SC"/>
        <family val="2"/>
      </rPr>
      <t xml:space="preserve">）は市場規模が</t>
    </r>
    <r>
      <rPr>
        <sz val="10"/>
        <color rgb="FF0A0A0C"/>
        <rFont val="Arial"/>
        <family val="0"/>
        <charset val="1"/>
      </rPr>
      <t xml:space="preserve">10</t>
    </r>
    <r>
      <rPr>
        <sz val="10"/>
        <color rgb="FF0A0A0C"/>
        <rFont val="Noto Sans CJK SC"/>
        <family val="2"/>
      </rPr>
      <t xml:space="preserve">倍以上。</t>
    </r>
    <r>
      <rPr>
        <sz val="10"/>
        <color rgb="FF0A0A0C"/>
        <rFont val="Arial"/>
        <family val="0"/>
        <charset val="1"/>
      </rPr>
      <t xml:space="preserve">TAM</t>
    </r>
    <r>
      <rPr>
        <sz val="10"/>
        <color rgb="FF0A0A0C"/>
        <rFont val="Noto Sans CJK SC"/>
        <family val="2"/>
      </rPr>
      <t xml:space="preserve">が大幅に拡大するため、黒字化後の最優先施策。</t>
    </r>
  </si>
  <si>
    <r>
      <rPr>
        <b val="true"/>
        <sz val="20"/>
        <color rgb="FF0A0A0C"/>
        <rFont val="Arial"/>
        <family val="0"/>
        <charset val="1"/>
      </rPr>
      <t xml:space="preserve">CHRONOS — </t>
    </r>
    <r>
      <rPr>
        <b val="true"/>
        <sz val="20"/>
        <color rgb="FF0A0A0C"/>
        <rFont val="Noto Sans CJK SC"/>
        <family val="2"/>
      </rPr>
      <t xml:space="preserve">初期投資</t>
    </r>
    <r>
      <rPr>
        <b val="true"/>
        <sz val="20"/>
        <color rgb="FF0A0A0C"/>
        <rFont val="Arial"/>
        <family val="0"/>
        <charset val="1"/>
      </rPr>
      <t xml:space="preserve">50</t>
    </r>
    <r>
      <rPr>
        <b val="true"/>
        <sz val="20"/>
        <color rgb="FF0A0A0C"/>
        <rFont val="Noto Sans CJK SC"/>
        <family val="2"/>
      </rPr>
      <t xml:space="preserve">万円の内訳</t>
    </r>
  </si>
  <si>
    <r>
      <rPr>
        <sz val="11"/>
        <color rgb="FF8A8680"/>
        <rFont val="Arial"/>
        <family val="0"/>
        <charset val="1"/>
      </rPr>
      <t xml:space="preserve">Phase 0</t>
    </r>
    <r>
      <rPr>
        <sz val="11"/>
        <color rgb="FF8A8680"/>
        <rFont val="Noto Sans CJK SC"/>
        <family val="2"/>
      </rPr>
      <t xml:space="preserve">〜</t>
    </r>
    <r>
      <rPr>
        <sz val="11"/>
        <color rgb="FF8A8680"/>
        <rFont val="Arial"/>
        <family val="0"/>
        <charset val="1"/>
      </rPr>
      <t xml:space="preserve">Phase 1</t>
    </r>
    <r>
      <rPr>
        <sz val="11"/>
        <color rgb="FF8A8680"/>
        <rFont val="Noto Sans CJK SC"/>
        <family val="2"/>
      </rPr>
      <t xml:space="preserve">完了まで（約</t>
    </r>
    <r>
      <rPr>
        <sz val="11"/>
        <color rgb="FF8A8680"/>
        <rFont val="Arial"/>
        <family val="0"/>
        <charset val="1"/>
      </rPr>
      <t xml:space="preserve">10</t>
    </r>
    <r>
      <rPr>
        <sz val="11"/>
        <color rgb="FF8A8680"/>
        <rFont val="Noto Sans CJK SC"/>
        <family val="2"/>
      </rPr>
      <t xml:space="preserve">週間）</t>
    </r>
  </si>
  <si>
    <t xml:space="preserve">金額（円）</t>
  </si>
  <si>
    <t xml:space="preserve">期間</t>
  </si>
  <si>
    <r>
      <rPr>
        <sz val="10"/>
        <color rgb="FF0A0A0C"/>
        <rFont val="Noto Sans CJK SC"/>
        <family val="2"/>
      </rPr>
      <t xml:space="preserve">エンジニア報酬（</t>
    </r>
    <r>
      <rPr>
        <sz val="10"/>
        <color rgb="FF0A0A0C"/>
        <rFont val="Arial"/>
        <family val="0"/>
        <charset val="1"/>
      </rPr>
      <t xml:space="preserve">Phase 0: 2</t>
    </r>
    <r>
      <rPr>
        <sz val="10"/>
        <color rgb="FF0A0A0C"/>
        <rFont val="Noto Sans CJK SC"/>
        <family val="2"/>
      </rPr>
      <t xml:space="preserve">週間）</t>
    </r>
  </si>
  <si>
    <r>
      <rPr>
        <sz val="9"/>
        <color rgb="FF8A8680"/>
        <rFont val="Arial"/>
        <family val="0"/>
        <charset val="1"/>
      </rPr>
      <t xml:space="preserve">2</t>
    </r>
    <r>
      <rPr>
        <sz val="9"/>
        <color rgb="FF8A8680"/>
        <rFont val="Noto Sans CJK SC"/>
        <family val="2"/>
      </rPr>
      <t xml:space="preserve">週間</t>
    </r>
  </si>
  <si>
    <r>
      <rPr>
        <sz val="9"/>
        <color rgb="FF8A8680"/>
        <rFont val="Arial"/>
        <family val="0"/>
        <charset val="1"/>
      </rPr>
      <t xml:space="preserve">LP</t>
    </r>
    <r>
      <rPr>
        <sz val="9"/>
        <color rgb="FF8A8680"/>
        <rFont val="Noto Sans CJK SC"/>
        <family val="2"/>
      </rPr>
      <t xml:space="preserve">作成＋ウェイトリスト実装</t>
    </r>
  </si>
  <si>
    <r>
      <rPr>
        <sz val="10"/>
        <color rgb="FF0A0A0C"/>
        <rFont val="Noto Sans CJK SC"/>
        <family val="2"/>
      </rPr>
      <t xml:space="preserve">エンジニア報酬（</t>
    </r>
    <r>
      <rPr>
        <sz val="10"/>
        <color rgb="FF0A0A0C"/>
        <rFont val="Arial"/>
        <family val="0"/>
        <charset val="1"/>
      </rPr>
      <t xml:space="preserve">Phase 1: 8</t>
    </r>
    <r>
      <rPr>
        <sz val="10"/>
        <color rgb="FF0A0A0C"/>
        <rFont val="Noto Sans CJK SC"/>
        <family val="2"/>
      </rPr>
      <t xml:space="preserve">週間）</t>
    </r>
  </si>
  <si>
    <r>
      <rPr>
        <sz val="9"/>
        <color rgb="FF8A8680"/>
        <rFont val="Arial"/>
        <family val="0"/>
        <charset val="1"/>
      </rPr>
      <t xml:space="preserve">8</t>
    </r>
    <r>
      <rPr>
        <sz val="9"/>
        <color rgb="FF8A8680"/>
        <rFont val="Noto Sans CJK SC"/>
        <family val="2"/>
      </rPr>
      <t xml:space="preserve">週間</t>
    </r>
  </si>
  <si>
    <r>
      <rPr>
        <sz val="9"/>
        <color rgb="FF8A8680"/>
        <rFont val="Arial"/>
        <family val="0"/>
        <charset val="1"/>
      </rPr>
      <t xml:space="preserve">MVP</t>
    </r>
    <r>
      <rPr>
        <sz val="9"/>
        <color rgb="FF8A8680"/>
        <rFont val="Noto Sans CJK SC"/>
        <family val="2"/>
      </rPr>
      <t xml:space="preserve">開発。月</t>
    </r>
    <r>
      <rPr>
        <sz val="9"/>
        <color rgb="FF8A8680"/>
        <rFont val="Arial"/>
        <family val="0"/>
        <charset val="1"/>
      </rPr>
      <t xml:space="preserve">15</t>
    </r>
    <r>
      <rPr>
        <sz val="9"/>
        <color rgb="FF8A8680"/>
        <rFont val="Noto Sans CJK SC"/>
        <family val="2"/>
      </rPr>
      <t xml:space="preserve">万</t>
    </r>
    <r>
      <rPr>
        <sz val="9"/>
        <color rgb="FF8A8680"/>
        <rFont val="Arial"/>
        <family val="0"/>
        <charset val="1"/>
      </rPr>
      <t xml:space="preserve">×2</t>
    </r>
    <r>
      <rPr>
        <sz val="9"/>
        <color rgb="FF8A8680"/>
        <rFont val="Noto Sans CJK SC"/>
        <family val="2"/>
      </rPr>
      <t xml:space="preserve">ヶ月。</t>
    </r>
  </si>
  <si>
    <t xml:space="preserve">ドメイン取得</t>
  </si>
  <si>
    <t xml:space="preserve">年間</t>
  </si>
  <si>
    <r>
      <rPr>
        <sz val="9"/>
        <color rgb="FF8A8680"/>
        <rFont val="Arial"/>
        <family val="0"/>
        <charset val="1"/>
      </rPr>
      <t xml:space="preserve">chronos.app </t>
    </r>
    <r>
      <rPr>
        <sz val="9"/>
        <color rgb="FF8A8680"/>
        <rFont val="Noto Sans CJK SC"/>
        <family val="2"/>
      </rPr>
      <t xml:space="preserve">等</t>
    </r>
  </si>
  <si>
    <r>
      <rPr>
        <sz val="10"/>
        <color rgb="FF0A0A0C"/>
        <rFont val="Arial"/>
        <family val="0"/>
        <charset val="1"/>
      </rPr>
      <t xml:space="preserve">Vercel Pro</t>
    </r>
    <r>
      <rPr>
        <sz val="10"/>
        <color rgb="FF0A0A0C"/>
        <rFont val="Noto Sans CJK SC"/>
        <family val="2"/>
      </rPr>
      <t xml:space="preserve">（</t>
    </r>
    <r>
      <rPr>
        <sz val="10"/>
        <color rgb="FF0A0A0C"/>
        <rFont val="Arial"/>
        <family val="0"/>
        <charset val="1"/>
      </rPr>
      <t xml:space="preserve">2</t>
    </r>
    <r>
      <rPr>
        <sz val="10"/>
        <color rgb="FF0A0A0C"/>
        <rFont val="Noto Sans CJK SC"/>
        <family val="2"/>
      </rPr>
      <t xml:space="preserve">ヶ月）</t>
    </r>
  </si>
  <si>
    <r>
      <rPr>
        <sz val="9"/>
        <color rgb="FF8A8680"/>
        <rFont val="Arial"/>
        <family val="0"/>
        <charset val="1"/>
      </rPr>
      <t xml:space="preserve">2</t>
    </r>
    <r>
      <rPr>
        <sz val="9"/>
        <color rgb="FF8A8680"/>
        <rFont val="Noto Sans CJK SC"/>
        <family val="2"/>
      </rPr>
      <t xml:space="preserve">ヶ月</t>
    </r>
  </si>
  <si>
    <r>
      <rPr>
        <sz val="9"/>
        <color rgb="FF8A8680"/>
        <rFont val="Arial"/>
        <family val="0"/>
        <charset val="1"/>
      </rPr>
      <t xml:space="preserve">MVP</t>
    </r>
    <r>
      <rPr>
        <sz val="9"/>
        <color rgb="FF8A8680"/>
        <rFont val="Noto Sans CJK SC"/>
        <family val="2"/>
      </rPr>
      <t xml:space="preserve">開発〜ローンチ</t>
    </r>
  </si>
  <si>
    <r>
      <rPr>
        <sz val="10"/>
        <color rgb="FF0A0A0C"/>
        <rFont val="Arial"/>
        <family val="0"/>
        <charset val="1"/>
      </rPr>
      <t xml:space="preserve">Supabase Pro</t>
    </r>
    <r>
      <rPr>
        <sz val="10"/>
        <color rgb="FF0A0A0C"/>
        <rFont val="Noto Sans CJK SC"/>
        <family val="2"/>
      </rPr>
      <t xml:space="preserve">（</t>
    </r>
    <r>
      <rPr>
        <sz val="10"/>
        <color rgb="FF0A0A0C"/>
        <rFont val="Arial"/>
        <family val="0"/>
        <charset val="1"/>
      </rPr>
      <t xml:space="preserve">2</t>
    </r>
    <r>
      <rPr>
        <sz val="10"/>
        <color rgb="FF0A0A0C"/>
        <rFont val="Noto Sans CJK SC"/>
        <family val="2"/>
      </rPr>
      <t xml:space="preserve">ヶ月）</t>
    </r>
  </si>
  <si>
    <r>
      <rPr>
        <sz val="9"/>
        <color rgb="FF8A8680"/>
        <rFont val="Arial"/>
        <family val="0"/>
        <charset val="1"/>
      </rPr>
      <t xml:space="preserve">DB</t>
    </r>
    <r>
      <rPr>
        <sz val="9"/>
        <color rgb="FF8A8680"/>
        <rFont val="Noto Sans CJK SC"/>
        <family val="2"/>
      </rPr>
      <t xml:space="preserve">・認証</t>
    </r>
  </si>
  <si>
    <r>
      <rPr>
        <sz val="10"/>
        <color rgb="FF0A0A0C"/>
        <rFont val="Arial"/>
        <family val="0"/>
        <charset val="1"/>
      </rPr>
      <t xml:space="preserve">AI API</t>
    </r>
    <r>
      <rPr>
        <sz val="10"/>
        <color rgb="FF0A0A0C"/>
        <rFont val="Noto Sans CJK SC"/>
        <family val="2"/>
      </rPr>
      <t xml:space="preserve">（開発・テスト）</t>
    </r>
  </si>
  <si>
    <r>
      <rPr>
        <sz val="9"/>
        <color rgb="FF8A8680"/>
        <rFont val="Noto Sans CJK SC"/>
        <family val="2"/>
      </rPr>
      <t xml:space="preserve">開発中の</t>
    </r>
    <r>
      <rPr>
        <sz val="9"/>
        <color rgb="FF8A8680"/>
        <rFont val="Arial"/>
        <family val="0"/>
        <charset val="1"/>
      </rPr>
      <t xml:space="preserve">API</t>
    </r>
    <r>
      <rPr>
        <sz val="9"/>
        <color rgb="FF8A8680"/>
        <rFont val="Noto Sans CJK SC"/>
        <family val="2"/>
      </rPr>
      <t xml:space="preserve">利用</t>
    </r>
  </si>
  <si>
    <t xml:space="preserve">デザインツール等</t>
  </si>
  <si>
    <r>
      <rPr>
        <sz val="9"/>
        <color rgb="FF8A8680"/>
        <rFont val="Arial"/>
        <family val="0"/>
        <charset val="1"/>
      </rPr>
      <t xml:space="preserve">Figma</t>
    </r>
    <r>
      <rPr>
        <sz val="9"/>
        <color rgb="FF8A8680"/>
        <rFont val="Noto Sans CJK SC"/>
        <family val="2"/>
      </rPr>
      <t xml:space="preserve">、アイコン素材等</t>
    </r>
  </si>
  <si>
    <t xml:space="preserve">予備費</t>
  </si>
  <si>
    <t xml:space="preserve">想定外の費用に備える</t>
  </si>
  <si>
    <t xml:space="preserve">合計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</si>
</sst>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%"/>
    <numFmt numFmtId="167" formatCode="#,##0;\(#,##0\);\-"/>
    <numFmt numFmtId="168" formatCode="#,##0;\(#,##0\)"/>
    <numFmt numFmtId="169" formatCode="0.0\x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A0A0C"/>
      <name val="Arial"/>
      <family val="0"/>
      <charset val="1"/>
    </font>
    <font>
      <b val="true"/>
      <sz val="20"/>
      <color rgb="FF0A0A0C"/>
      <name val="Noto Sans CJK SC"/>
      <family val="2"/>
    </font>
    <font>
      <sz val="11"/>
      <color rgb="FF8A8680"/>
      <name val="Arial"/>
      <family val="0"/>
      <charset val="1"/>
    </font>
    <font>
      <b val="true"/>
      <sz val="11"/>
      <color rgb="FF0A0A0C"/>
      <name val="Noto Sans CJK SC"/>
      <family val="2"/>
    </font>
    <font>
      <sz val="10"/>
      <color rgb="FF0A0A0C"/>
      <name val="Noto Sans CJK SC"/>
      <family val="2"/>
    </font>
    <font>
      <sz val="9"/>
      <color rgb="FF8A8680"/>
      <name val="Arial"/>
      <family val="0"/>
      <charset val="1"/>
    </font>
    <font>
      <sz val="10"/>
      <color rgb="FF0A0A0C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8A8680"/>
      <name val="Noto Sans CJK SC"/>
      <family val="2"/>
    </font>
    <font>
      <b val="true"/>
      <sz val="10"/>
      <color rgb="FF0A0A0C"/>
      <name val="Noto Sans CJK SC"/>
      <family val="2"/>
    </font>
    <font>
      <b val="true"/>
      <sz val="11"/>
      <color rgb="FF0A0A0C"/>
      <name val="Arial"/>
      <family val="0"/>
      <charset val="1"/>
    </font>
    <font>
      <b val="true"/>
      <sz val="10"/>
      <color rgb="FF0A0A0C"/>
      <name val="Arial"/>
      <family val="0"/>
      <charset val="1"/>
    </font>
    <font>
      <sz val="11"/>
      <color rgb="FF8A8680"/>
      <name val="Noto Sans CJK SC"/>
      <family val="2"/>
    </font>
    <font>
      <b val="true"/>
      <sz val="9"/>
      <color rgb="FFFFFFFF"/>
      <name val="Arial"/>
      <family val="0"/>
      <charset val="1"/>
    </font>
    <font>
      <b val="true"/>
      <sz val="9"/>
      <color rgb="FFFFFFFF"/>
      <name val="Noto Sans CJK SC"/>
      <family val="2"/>
    </font>
    <font>
      <sz val="10"/>
      <color rgb="FFCCCCCC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CC0000"/>
      <name val="Arial"/>
      <family val="0"/>
      <charset val="1"/>
    </font>
    <font>
      <sz val="10"/>
      <color rgb="FF0000FF"/>
      <name val="Noto Sans CJK SC"/>
      <family val="2"/>
    </font>
  </fonts>
  <fills count="9">
    <fill>
      <patternFill patternType="none"/>
    </fill>
    <fill>
      <patternFill patternType="gray125"/>
    </fill>
    <fill>
      <patternFill patternType="solid">
        <fgColor rgb="FFE8E4DE"/>
        <bgColor rgb="FFEDE9E3"/>
      </patternFill>
    </fill>
    <fill>
      <patternFill patternType="solid">
        <fgColor rgb="FFF5F3EF"/>
        <bgColor rgb="FFF9F7F3"/>
      </patternFill>
    </fill>
    <fill>
      <patternFill patternType="solid">
        <fgColor rgb="FFFFFFFF"/>
        <bgColor rgb="FFF9F7F3"/>
      </patternFill>
    </fill>
    <fill>
      <patternFill patternType="solid">
        <fgColor rgb="FFF9F7F3"/>
        <bgColor rgb="FFF5F3EF"/>
      </patternFill>
    </fill>
    <fill>
      <patternFill patternType="solid">
        <fgColor rgb="FF1A1A1E"/>
        <bgColor rgb="FF0A0A0C"/>
      </patternFill>
    </fill>
    <fill>
      <patternFill patternType="solid">
        <fgColor rgb="FFEDE9E3"/>
        <bgColor rgb="FFE8E4DE"/>
      </patternFill>
    </fill>
    <fill>
      <patternFill patternType="solid">
        <fgColor rgb="FFFDE8E8"/>
        <bgColor rgb="FFEDE9E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4CFC7"/>
      </left>
      <right style="thin">
        <color rgb="FFD4CFC7"/>
      </right>
      <top style="thin">
        <color rgb="FFD4CFC7"/>
      </top>
      <bottom style="thin">
        <color rgb="FFD4CF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A8680"/>
      <rgbColor rgb="FF5B9BD5"/>
      <rgbColor rgb="FF993366"/>
      <rgbColor rgb="FFF9F7F3"/>
      <rgbColor rgb="FFF5F3EF"/>
      <rgbColor rgb="FF660066"/>
      <rgbColor rgb="FFD4849A"/>
      <rgbColor rgb="FF0066CC"/>
      <rgbColor rgb="FFD4CFC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4DE"/>
      <rgbColor rgb="FFEDE9E3"/>
      <rgbColor rgb="FFFDE8E8"/>
      <rgbColor rgb="FF99CCFF"/>
      <rgbColor rgb="FFFF99CC"/>
      <rgbColor rgb="FFCC99FF"/>
      <rgbColor rgb="FFFFCC99"/>
      <rgbColor rgb="FF3366FF"/>
      <rgbColor rgb="FF33CCCC"/>
      <rgbColor rgb="FF7BC67E"/>
      <rgbColor rgb="FFFFCC00"/>
      <rgbColor rgb="FFFF9900"/>
      <rgbColor rgb="FFFF6600"/>
      <rgbColor rgb="FF666699"/>
      <rgbColor rgb="FFC8A87E"/>
      <rgbColor rgb="FF003366"/>
      <rgbColor rgb="FF339966"/>
      <rgbColor rgb="FF0A0A0C"/>
      <rgbColor rgb="FF333300"/>
      <rgbColor rgb="FF993300"/>
      <rgbColor rgb="FF993366"/>
      <rgbColor rgb="FF333399"/>
      <rgbColor rgb="FF1A1A1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87E"/>
    <pageSetUpPr fitToPage="false"/>
  </sheetPr>
  <dimension ref="B2:E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40"/>
  </cols>
  <sheetData>
    <row r="2" customFormat="false" ht="30.55" hidden="false" customHeight="false" outlineLevel="0" collapsed="false">
      <c r="B2" s="1" t="s">
        <v>0</v>
      </c>
      <c r="C2" s="1"/>
      <c r="D2" s="1"/>
      <c r="E2" s="1"/>
    </row>
    <row r="3" customFormat="false" ht="15" hidden="false" customHeight="false" outlineLevel="0" collapsed="false">
      <c r="B3" s="2" t="s">
        <v>1</v>
      </c>
      <c r="C3" s="2"/>
      <c r="D3" s="2"/>
      <c r="E3" s="2"/>
    </row>
    <row r="5" customFormat="false" ht="15" hidden="false" customHeight="false" outlineLevel="0" collapsed="false">
      <c r="B5" s="3" t="s">
        <v>2</v>
      </c>
      <c r="C5" s="3"/>
      <c r="D5" s="3"/>
      <c r="E5" s="3"/>
    </row>
    <row r="6" customFormat="false" ht="15" hidden="false" customHeight="false" outlineLevel="0" collapsed="false">
      <c r="B6" s="4" t="s">
        <v>3</v>
      </c>
      <c r="C6" s="4" t="s">
        <v>4</v>
      </c>
      <c r="D6" s="5"/>
      <c r="E6" s="5"/>
    </row>
    <row r="7" customFormat="false" ht="15" hidden="false" customHeight="false" outlineLevel="0" collapsed="false">
      <c r="B7" s="4" t="s">
        <v>5</v>
      </c>
      <c r="C7" s="6" t="s">
        <v>6</v>
      </c>
      <c r="D7" s="5"/>
      <c r="E7" s="5"/>
    </row>
    <row r="8" customFormat="false" ht="15" hidden="false" customHeight="false" outlineLevel="0" collapsed="false">
      <c r="B8" s="4" t="s">
        <v>7</v>
      </c>
      <c r="C8" s="6" t="s">
        <v>8</v>
      </c>
      <c r="D8" s="5"/>
      <c r="E8" s="5"/>
    </row>
    <row r="9" customFormat="false" ht="15" hidden="false" customHeight="false" outlineLevel="0" collapsed="false">
      <c r="B9" s="4" t="s">
        <v>9</v>
      </c>
      <c r="C9" s="6" t="s">
        <v>10</v>
      </c>
      <c r="D9" s="5"/>
      <c r="E9" s="5"/>
    </row>
    <row r="10" customFormat="false" ht="15" hidden="false" customHeight="false" outlineLevel="0" collapsed="false">
      <c r="B10" s="4" t="s">
        <v>11</v>
      </c>
      <c r="C10" s="7" t="n">
        <v>500000</v>
      </c>
      <c r="D10" s="8" t="s">
        <v>12</v>
      </c>
      <c r="E10" s="8" t="s">
        <v>13</v>
      </c>
    </row>
    <row r="11" customFormat="false" ht="15" hidden="false" customHeight="false" outlineLevel="0" collapsed="false">
      <c r="B11" s="4" t="s">
        <v>14</v>
      </c>
      <c r="C11" s="4" t="s">
        <v>15</v>
      </c>
      <c r="D11" s="5"/>
      <c r="E11" s="8" t="s">
        <v>16</v>
      </c>
    </row>
    <row r="13" customFormat="false" ht="15" hidden="false" customHeight="false" outlineLevel="0" collapsed="false">
      <c r="B13" s="3" t="s">
        <v>17</v>
      </c>
      <c r="C13" s="3"/>
      <c r="D13" s="3"/>
      <c r="E13" s="3"/>
    </row>
    <row r="14" customFormat="false" ht="15" hidden="false" customHeight="false" outlineLevel="0" collapsed="false">
      <c r="B14" s="9" t="s">
        <v>18</v>
      </c>
      <c r="C14" s="9" t="s">
        <v>19</v>
      </c>
      <c r="D14" s="9" t="s">
        <v>20</v>
      </c>
      <c r="E14" s="9" t="s">
        <v>21</v>
      </c>
    </row>
    <row r="15" customFormat="false" ht="15" hidden="false" customHeight="false" outlineLevel="0" collapsed="false">
      <c r="B15" s="10" t="s">
        <v>22</v>
      </c>
      <c r="C15" s="11" t="s">
        <v>23</v>
      </c>
      <c r="D15" s="11" t="s">
        <v>24</v>
      </c>
      <c r="E15" s="12" t="s">
        <v>25</v>
      </c>
    </row>
    <row r="16" customFormat="false" ht="15" hidden="false" customHeight="false" outlineLevel="0" collapsed="false">
      <c r="B16" s="13" t="s">
        <v>26</v>
      </c>
      <c r="C16" s="14" t="s">
        <v>27</v>
      </c>
      <c r="D16" s="14" t="s">
        <v>24</v>
      </c>
      <c r="E16" s="15" t="s">
        <v>28</v>
      </c>
    </row>
    <row r="17" customFormat="false" ht="15" hidden="false" customHeight="false" outlineLevel="0" collapsed="false">
      <c r="B17" s="10" t="s">
        <v>29</v>
      </c>
      <c r="C17" s="11" t="s">
        <v>24</v>
      </c>
      <c r="D17" s="11" t="s">
        <v>30</v>
      </c>
      <c r="E17" s="12" t="s">
        <v>31</v>
      </c>
    </row>
    <row r="20" customFormat="false" ht="15" hidden="false" customHeight="false" outlineLevel="0" collapsed="false">
      <c r="B20" s="3" t="s">
        <v>32</v>
      </c>
      <c r="C20" s="3"/>
      <c r="D20" s="3"/>
      <c r="E20" s="3"/>
    </row>
    <row r="21" customFormat="false" ht="15" hidden="false" customHeight="false" outlineLevel="0" collapsed="false">
      <c r="B21" s="9" t="s">
        <v>33</v>
      </c>
      <c r="C21" s="9" t="s">
        <v>34</v>
      </c>
      <c r="D21" s="9" t="s">
        <v>35</v>
      </c>
      <c r="E21" s="9" t="s">
        <v>36</v>
      </c>
    </row>
    <row r="22" customFormat="false" ht="15" hidden="false" customHeight="false" outlineLevel="0" collapsed="false">
      <c r="B22" s="16" t="s">
        <v>37</v>
      </c>
      <c r="C22" s="17" t="n">
        <v>150000</v>
      </c>
      <c r="D22" s="18" t="s">
        <v>38</v>
      </c>
      <c r="E22" s="12" t="s">
        <v>39</v>
      </c>
    </row>
    <row r="23" customFormat="false" ht="15" hidden="false" customHeight="false" outlineLevel="0" collapsed="false">
      <c r="B23" s="13" t="s">
        <v>40</v>
      </c>
      <c r="C23" s="19" t="n">
        <v>2700</v>
      </c>
      <c r="D23" s="20" t="s">
        <v>41</v>
      </c>
      <c r="E23" s="20" t="s">
        <v>42</v>
      </c>
    </row>
    <row r="24" customFormat="false" ht="15" hidden="false" customHeight="false" outlineLevel="0" collapsed="false">
      <c r="B24" s="10" t="s">
        <v>43</v>
      </c>
      <c r="C24" s="17" t="n">
        <v>3400</v>
      </c>
      <c r="D24" s="18" t="s">
        <v>41</v>
      </c>
      <c r="E24" s="18" t="s">
        <v>44</v>
      </c>
    </row>
    <row r="25" customFormat="false" ht="15" hidden="false" customHeight="false" outlineLevel="0" collapsed="false">
      <c r="B25" s="13" t="s">
        <v>45</v>
      </c>
      <c r="C25" s="19" t="n">
        <v>5000</v>
      </c>
      <c r="D25" s="20" t="s">
        <v>41</v>
      </c>
      <c r="E25" s="15" t="s">
        <v>46</v>
      </c>
    </row>
    <row r="26" customFormat="false" ht="15" hidden="false" customHeight="false" outlineLevel="0" collapsed="false">
      <c r="B26" s="16" t="s">
        <v>47</v>
      </c>
      <c r="C26" s="17" t="n">
        <v>200</v>
      </c>
      <c r="D26" s="18" t="s">
        <v>38</v>
      </c>
      <c r="E26" s="12" t="s">
        <v>48</v>
      </c>
    </row>
    <row r="27" customFormat="false" ht="15" hidden="false" customHeight="false" outlineLevel="0" collapsed="false">
      <c r="B27" s="13" t="s">
        <v>49</v>
      </c>
      <c r="C27" s="19" t="n">
        <v>0</v>
      </c>
      <c r="D27" s="20" t="s">
        <v>50</v>
      </c>
      <c r="E27" s="15" t="s">
        <v>51</v>
      </c>
    </row>
    <row r="28" customFormat="false" ht="15" hidden="false" customHeight="false" outlineLevel="0" collapsed="false">
      <c r="B28" s="16" t="s">
        <v>52</v>
      </c>
      <c r="C28" s="17" t="n">
        <v>0</v>
      </c>
      <c r="D28" s="18" t="s">
        <v>53</v>
      </c>
      <c r="E28" s="12" t="s">
        <v>54</v>
      </c>
    </row>
    <row r="29" customFormat="false" ht="15" hidden="false" customHeight="false" outlineLevel="0" collapsed="false">
      <c r="B29" s="21" t="s">
        <v>55</v>
      </c>
      <c r="C29" s="19" t="n">
        <v>3000</v>
      </c>
      <c r="D29" s="20" t="s">
        <v>41</v>
      </c>
      <c r="E29" s="20" t="s">
        <v>56</v>
      </c>
    </row>
    <row r="32" customFormat="false" ht="17.15" hidden="false" customHeight="false" outlineLevel="0" collapsed="false">
      <c r="B32" s="3" t="s">
        <v>57</v>
      </c>
      <c r="C32" s="3"/>
      <c r="D32" s="3"/>
      <c r="E32" s="3"/>
    </row>
    <row r="33" customFormat="false" ht="15" hidden="false" customHeight="false" outlineLevel="0" collapsed="false">
      <c r="B33" s="9" t="s">
        <v>58</v>
      </c>
      <c r="C33" s="22" t="s">
        <v>59</v>
      </c>
      <c r="D33" s="22" t="s">
        <v>60</v>
      </c>
      <c r="E33" s="22" t="s">
        <v>61</v>
      </c>
    </row>
    <row r="34" customFormat="false" ht="15" hidden="false" customHeight="false" outlineLevel="0" collapsed="false">
      <c r="B34" s="16" t="s">
        <v>62</v>
      </c>
      <c r="C34" s="11" t="n">
        <v>50</v>
      </c>
      <c r="D34" s="11" t="n">
        <v>100</v>
      </c>
      <c r="E34" s="17" t="n">
        <v>200</v>
      </c>
    </row>
    <row r="35" customFormat="false" ht="15" hidden="false" customHeight="false" outlineLevel="0" collapsed="false">
      <c r="B35" s="21" t="s">
        <v>63</v>
      </c>
      <c r="C35" s="14" t="s">
        <v>64</v>
      </c>
      <c r="D35" s="14" t="s">
        <v>65</v>
      </c>
      <c r="E35" s="14" t="s">
        <v>66</v>
      </c>
    </row>
    <row r="36" customFormat="false" ht="15" hidden="false" customHeight="false" outlineLevel="0" collapsed="false">
      <c r="B36" s="16" t="s">
        <v>67</v>
      </c>
      <c r="C36" s="11" t="s">
        <v>68</v>
      </c>
      <c r="D36" s="11" t="s">
        <v>69</v>
      </c>
      <c r="E36" s="11" t="s">
        <v>70</v>
      </c>
    </row>
    <row r="37" customFormat="false" ht="15" hidden="false" customHeight="false" outlineLevel="0" collapsed="false">
      <c r="B37" s="13" t="s">
        <v>71</v>
      </c>
      <c r="C37" s="14" t="s">
        <v>70</v>
      </c>
      <c r="D37" s="14" t="s">
        <v>72</v>
      </c>
      <c r="E37" s="14" t="s">
        <v>73</v>
      </c>
    </row>
    <row r="38" customFormat="false" ht="15" hidden="false" customHeight="false" outlineLevel="0" collapsed="false">
      <c r="B38" s="16" t="s">
        <v>74</v>
      </c>
      <c r="C38" s="11" t="s">
        <v>75</v>
      </c>
      <c r="D38" s="11" t="s">
        <v>76</v>
      </c>
      <c r="E38" s="11" t="s">
        <v>77</v>
      </c>
    </row>
    <row r="39" customFormat="false" ht="15" hidden="false" customHeight="false" outlineLevel="0" collapsed="false">
      <c r="B39" s="21" t="s">
        <v>78</v>
      </c>
      <c r="C39" s="19" t="n">
        <v>720</v>
      </c>
      <c r="D39" s="19" t="n">
        <v>700</v>
      </c>
      <c r="E39" s="19" t="n">
        <v>680</v>
      </c>
    </row>
    <row r="40" customFormat="false" ht="15" hidden="false" customHeight="false" outlineLevel="0" collapsed="false">
      <c r="B40" s="5" t="s">
        <v>79</v>
      </c>
    </row>
    <row r="41" customFormat="false" ht="15" hidden="false" customHeight="false" outlineLevel="0" collapsed="false">
      <c r="B41" s="8" t="s">
        <v>80</v>
      </c>
    </row>
    <row r="42" customFormat="false" ht="15" hidden="false" customHeight="false" outlineLevel="0" collapsed="false">
      <c r="B42" s="8" t="s">
        <v>81</v>
      </c>
    </row>
  </sheetData>
  <mergeCells count="6">
    <mergeCell ref="B2:E2"/>
    <mergeCell ref="B3:E3"/>
    <mergeCell ref="B5:E5"/>
    <mergeCell ref="B13:E13"/>
    <mergeCell ref="B20:E20"/>
    <mergeCell ref="B32:E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C67E"/>
    <pageSetUpPr fitToPage="false"/>
  </sheetPr>
  <dimension ref="B2:T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20" min="3" style="0" width="13"/>
  </cols>
  <sheetData>
    <row r="2" customFormat="false" ht="30.55" hidden="false" customHeight="false" outlineLevel="0" collapsed="false">
      <c r="B2" s="1" t="s">
        <v>82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customFormat="false" ht="17.15" hidden="false" customHeight="false" outlineLevel="0" collapsed="false">
      <c r="B3" s="23" t="s">
        <v>83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</row>
    <row r="5" customFormat="false" ht="15" hidden="false" customHeight="false" outlineLevel="0" collapsed="false">
      <c r="B5" s="24"/>
      <c r="C5" s="25" t="s">
        <v>84</v>
      </c>
      <c r="D5" s="25" t="s">
        <v>85</v>
      </c>
      <c r="E5" s="25" t="s">
        <v>86</v>
      </c>
      <c r="F5" s="25" t="s">
        <v>87</v>
      </c>
      <c r="G5" s="25" t="s">
        <v>88</v>
      </c>
      <c r="H5" s="25" t="s">
        <v>89</v>
      </c>
      <c r="I5" s="25" t="s">
        <v>90</v>
      </c>
      <c r="J5" s="25" t="s">
        <v>91</v>
      </c>
      <c r="K5" s="25" t="s">
        <v>92</v>
      </c>
      <c r="L5" s="25" t="s">
        <v>93</v>
      </c>
      <c r="M5" s="25" t="s">
        <v>94</v>
      </c>
      <c r="N5" s="25" t="s">
        <v>95</v>
      </c>
      <c r="O5" s="25" t="s">
        <v>84</v>
      </c>
      <c r="P5" s="25" t="s">
        <v>85</v>
      </c>
      <c r="Q5" s="25" t="s">
        <v>86</v>
      </c>
      <c r="R5" s="25" t="s">
        <v>87</v>
      </c>
      <c r="S5" s="25" t="s">
        <v>88</v>
      </c>
      <c r="T5" s="25" t="s">
        <v>89</v>
      </c>
    </row>
    <row r="6" customFormat="false" ht="15" hidden="false" customHeight="false" outlineLevel="0" collapsed="false">
      <c r="B6" s="8" t="s">
        <v>35</v>
      </c>
      <c r="C6" s="26" t="s">
        <v>96</v>
      </c>
      <c r="D6" s="26" t="s">
        <v>96</v>
      </c>
      <c r="E6" s="26" t="s">
        <v>97</v>
      </c>
      <c r="F6" s="26" t="s">
        <v>97</v>
      </c>
      <c r="G6" s="26" t="s">
        <v>97</v>
      </c>
      <c r="H6" s="26" t="s">
        <v>97</v>
      </c>
      <c r="I6" s="26" t="s">
        <v>97</v>
      </c>
      <c r="J6" s="26" t="s">
        <v>97</v>
      </c>
      <c r="K6" s="26" t="s">
        <v>97</v>
      </c>
      <c r="L6" s="26" t="s">
        <v>97</v>
      </c>
      <c r="M6" s="26" t="s">
        <v>98</v>
      </c>
      <c r="N6" s="26" t="s">
        <v>98</v>
      </c>
      <c r="O6" s="26" t="s">
        <v>98</v>
      </c>
      <c r="P6" s="26" t="s">
        <v>98</v>
      </c>
      <c r="Q6" s="26" t="s">
        <v>99</v>
      </c>
      <c r="R6" s="26" t="s">
        <v>99</v>
      </c>
      <c r="S6" s="26" t="s">
        <v>99</v>
      </c>
      <c r="T6" s="26" t="s">
        <v>99</v>
      </c>
    </row>
    <row r="8" customFormat="false" ht="15" hidden="false" customHeight="false" outlineLevel="0" collapsed="false">
      <c r="B8" s="27" t="s">
        <v>100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</row>
    <row r="9" customFormat="false" ht="15" hidden="false" customHeight="false" outlineLevel="0" collapsed="false">
      <c r="B9" s="29" t="s">
        <v>101</v>
      </c>
      <c r="C9" s="30" t="n">
        <v>0</v>
      </c>
      <c r="D9" s="30" t="n">
        <v>0</v>
      </c>
      <c r="E9" s="31" t="n">
        <v>100</v>
      </c>
      <c r="F9" s="31" t="n">
        <v>114</v>
      </c>
      <c r="G9" s="31" t="n">
        <v>132</v>
      </c>
      <c r="H9" s="31" t="n">
        <v>152</v>
      </c>
      <c r="I9" s="31" t="n">
        <v>174</v>
      </c>
      <c r="J9" s="31" t="n">
        <v>201</v>
      </c>
      <c r="K9" s="31" t="n">
        <v>231</v>
      </c>
      <c r="L9" s="31" t="n">
        <v>266</v>
      </c>
      <c r="M9" s="31" t="n">
        <v>305</v>
      </c>
      <c r="N9" s="31" t="n">
        <v>351</v>
      </c>
      <c r="O9" s="31" t="n">
        <v>404</v>
      </c>
      <c r="P9" s="31" t="n">
        <v>465</v>
      </c>
      <c r="Q9" s="31" t="n">
        <v>535</v>
      </c>
      <c r="R9" s="31" t="n">
        <v>615</v>
      </c>
      <c r="S9" s="31" t="n">
        <v>707</v>
      </c>
      <c r="T9" s="31" t="n">
        <v>813</v>
      </c>
    </row>
    <row r="10" customFormat="false" ht="15" hidden="false" customHeight="false" outlineLevel="0" collapsed="false">
      <c r="B10" s="29" t="s">
        <v>102</v>
      </c>
      <c r="C10" s="30" t="n">
        <v>0</v>
      </c>
      <c r="D10" s="30" t="n">
        <v>0</v>
      </c>
      <c r="E10" s="31" t="n">
        <v>100</v>
      </c>
      <c r="F10" s="31" t="n">
        <v>214</v>
      </c>
      <c r="G10" s="31" t="n">
        <v>346</v>
      </c>
      <c r="H10" s="31" t="n">
        <v>498</v>
      </c>
      <c r="I10" s="31" t="n">
        <v>672</v>
      </c>
      <c r="J10" s="31" t="n">
        <v>873</v>
      </c>
      <c r="K10" s="31" t="n">
        <v>1104</v>
      </c>
      <c r="L10" s="31" t="n">
        <v>1370</v>
      </c>
      <c r="M10" s="31" t="n">
        <v>1675</v>
      </c>
      <c r="N10" s="31" t="n">
        <v>2026</v>
      </c>
      <c r="O10" s="31" t="n">
        <v>2430</v>
      </c>
      <c r="P10" s="31" t="n">
        <v>2895</v>
      </c>
      <c r="Q10" s="31" t="n">
        <v>3430</v>
      </c>
      <c r="R10" s="31" t="n">
        <v>4045</v>
      </c>
      <c r="S10" s="31" t="n">
        <v>4752</v>
      </c>
      <c r="T10" s="31" t="n">
        <v>5565</v>
      </c>
    </row>
    <row r="11" customFormat="false" ht="15" hidden="false" customHeight="false" outlineLevel="0" collapsed="false">
      <c r="B11" s="29" t="s">
        <v>103</v>
      </c>
      <c r="C11" s="30" t="n">
        <v>0</v>
      </c>
      <c r="D11" s="30" t="n">
        <v>0</v>
      </c>
      <c r="E11" s="31" t="n">
        <v>0</v>
      </c>
      <c r="F11" s="31" t="n">
        <v>0</v>
      </c>
      <c r="G11" s="31" t="n">
        <v>0</v>
      </c>
      <c r="H11" s="31" t="n">
        <v>0</v>
      </c>
      <c r="I11" s="31" t="n">
        <v>0</v>
      </c>
      <c r="J11" s="31" t="n">
        <v>0</v>
      </c>
      <c r="K11" s="31" t="n">
        <v>0</v>
      </c>
      <c r="L11" s="31" t="n">
        <v>0</v>
      </c>
      <c r="M11" s="31" t="n">
        <v>10</v>
      </c>
      <c r="N11" s="31" t="n">
        <v>12</v>
      </c>
      <c r="O11" s="31" t="n">
        <v>14</v>
      </c>
      <c r="P11" s="31" t="n">
        <v>16</v>
      </c>
      <c r="Q11" s="31" t="n">
        <v>18</v>
      </c>
      <c r="R11" s="31" t="n">
        <v>21</v>
      </c>
      <c r="S11" s="31" t="n">
        <v>24</v>
      </c>
      <c r="T11" s="31" t="n">
        <v>28</v>
      </c>
    </row>
    <row r="12" customFormat="false" ht="15" hidden="false" customHeight="false" outlineLevel="0" collapsed="false">
      <c r="B12" s="32" t="s">
        <v>104</v>
      </c>
      <c r="C12" s="30" t="n">
        <v>0</v>
      </c>
      <c r="D12" s="30" t="n">
        <v>0</v>
      </c>
      <c r="E12" s="31" t="n">
        <v>0</v>
      </c>
      <c r="F12" s="31" t="n">
        <v>0</v>
      </c>
      <c r="G12" s="31" t="n">
        <v>0</v>
      </c>
      <c r="H12" s="31" t="n">
        <v>0</v>
      </c>
      <c r="I12" s="31" t="n">
        <v>0</v>
      </c>
      <c r="J12" s="31" t="n">
        <v>0</v>
      </c>
      <c r="K12" s="31" t="n">
        <v>0</v>
      </c>
      <c r="L12" s="31" t="n">
        <v>0</v>
      </c>
      <c r="M12" s="31" t="n">
        <v>0</v>
      </c>
      <c r="N12" s="31" t="n">
        <v>0</v>
      </c>
      <c r="O12" s="31" t="n">
        <v>0</v>
      </c>
      <c r="P12" s="31" t="n">
        <v>1</v>
      </c>
      <c r="Q12" s="31" t="n">
        <v>2</v>
      </c>
      <c r="R12" s="31" t="n">
        <v>2</v>
      </c>
      <c r="S12" s="31" t="n">
        <v>3</v>
      </c>
      <c r="T12" s="31" t="n">
        <v>4</v>
      </c>
    </row>
    <row r="13" customFormat="false" ht="15" hidden="false" customHeight="false" outlineLevel="0" collapsed="false">
      <c r="B13" s="32" t="s">
        <v>105</v>
      </c>
      <c r="C13" s="30" t="n">
        <v>0</v>
      </c>
      <c r="D13" s="30" t="n">
        <v>0</v>
      </c>
      <c r="E13" s="31" t="n">
        <v>0</v>
      </c>
      <c r="F13" s="31" t="n">
        <v>0</v>
      </c>
      <c r="G13" s="31" t="n">
        <v>0</v>
      </c>
      <c r="H13" s="31" t="n">
        <v>0</v>
      </c>
      <c r="I13" s="31" t="n">
        <v>0</v>
      </c>
      <c r="J13" s="31" t="n">
        <v>0</v>
      </c>
      <c r="K13" s="31" t="n">
        <v>0</v>
      </c>
      <c r="L13" s="31" t="n">
        <v>0</v>
      </c>
      <c r="M13" s="31" t="n">
        <v>10</v>
      </c>
      <c r="N13" s="31" t="n">
        <v>22</v>
      </c>
      <c r="O13" s="31" t="n">
        <v>36</v>
      </c>
      <c r="P13" s="31" t="n">
        <v>51</v>
      </c>
      <c r="Q13" s="31" t="n">
        <v>67</v>
      </c>
      <c r="R13" s="31" t="n">
        <v>86</v>
      </c>
      <c r="S13" s="31" t="n">
        <v>107</v>
      </c>
      <c r="T13" s="31" t="n">
        <v>131</v>
      </c>
    </row>
    <row r="14" customFormat="false" ht="15" hidden="false" customHeight="false" outlineLevel="0" collapsed="false">
      <c r="B14" s="29" t="s">
        <v>106</v>
      </c>
      <c r="C14" s="30" t="n">
        <v>0</v>
      </c>
      <c r="D14" s="30" t="n">
        <v>0</v>
      </c>
      <c r="E14" s="31" t="n">
        <v>100</v>
      </c>
      <c r="F14" s="31" t="n">
        <v>214</v>
      </c>
      <c r="G14" s="31" t="n">
        <v>346</v>
      </c>
      <c r="H14" s="31" t="n">
        <v>498</v>
      </c>
      <c r="I14" s="31" t="n">
        <v>672</v>
      </c>
      <c r="J14" s="31" t="n">
        <v>873</v>
      </c>
      <c r="K14" s="31" t="n">
        <v>1104</v>
      </c>
      <c r="L14" s="31" t="n">
        <v>1370</v>
      </c>
      <c r="M14" s="31" t="n">
        <v>1665</v>
      </c>
      <c r="N14" s="31" t="n">
        <v>2004</v>
      </c>
      <c r="O14" s="31" t="n">
        <v>2394</v>
      </c>
      <c r="P14" s="31" t="n">
        <v>2844</v>
      </c>
      <c r="Q14" s="31" t="n">
        <v>3363</v>
      </c>
      <c r="R14" s="31" t="n">
        <v>3959</v>
      </c>
      <c r="S14" s="31" t="n">
        <v>4645</v>
      </c>
      <c r="T14" s="31" t="n">
        <v>5434</v>
      </c>
    </row>
    <row r="15" customFormat="false" ht="15" hidden="false" customHeight="false" outlineLevel="0" collapsed="false">
      <c r="B15" s="32" t="s">
        <v>107</v>
      </c>
      <c r="C15" s="33" t="n">
        <v>0</v>
      </c>
      <c r="D15" s="33" t="n">
        <v>0</v>
      </c>
      <c r="E15" s="34" t="n">
        <v>0</v>
      </c>
      <c r="F15" s="34" t="n">
        <v>0</v>
      </c>
      <c r="G15" s="34" t="n">
        <v>0</v>
      </c>
      <c r="H15" s="34" t="n">
        <v>0</v>
      </c>
      <c r="I15" s="34" t="n">
        <v>0</v>
      </c>
      <c r="J15" s="34" t="n">
        <v>0</v>
      </c>
      <c r="K15" s="34" t="n">
        <v>0</v>
      </c>
      <c r="L15" s="34" t="n">
        <v>0</v>
      </c>
      <c r="M15" s="34" t="n">
        <v>0.00597014925373134</v>
      </c>
      <c r="N15" s="34" t="n">
        <v>0.0108588351431392</v>
      </c>
      <c r="O15" s="34" t="n">
        <v>0.0148148148148148</v>
      </c>
      <c r="P15" s="34" t="n">
        <v>0.0176165803108808</v>
      </c>
      <c r="Q15" s="34" t="n">
        <v>0.019533527696793</v>
      </c>
      <c r="R15" s="34" t="n">
        <v>0.0212608158220025</v>
      </c>
      <c r="S15" s="34" t="n">
        <v>0.022516835016835</v>
      </c>
      <c r="T15" s="34" t="n">
        <v>0.0235399820305481</v>
      </c>
    </row>
    <row r="17" customFormat="false" ht="15" hidden="false" customHeight="false" outlineLevel="0" collapsed="false">
      <c r="B17" s="35" t="s">
        <v>108</v>
      </c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customFormat="false" ht="15" hidden="false" customHeight="false" outlineLevel="0" collapsed="false">
      <c r="B18" s="32" t="s">
        <v>109</v>
      </c>
      <c r="C18" s="31" t="n">
        <v>0</v>
      </c>
      <c r="D18" s="31" t="n">
        <v>0</v>
      </c>
      <c r="E18" s="31" t="n">
        <v>0</v>
      </c>
      <c r="F18" s="31" t="n">
        <v>0</v>
      </c>
      <c r="G18" s="31" t="n">
        <v>0</v>
      </c>
      <c r="H18" s="31" t="n">
        <v>0</v>
      </c>
      <c r="I18" s="31" t="n">
        <v>0</v>
      </c>
      <c r="J18" s="31" t="n">
        <v>0</v>
      </c>
      <c r="K18" s="31" t="n">
        <v>0</v>
      </c>
      <c r="L18" s="31" t="n">
        <v>0</v>
      </c>
      <c r="M18" s="31" t="n">
        <v>7000</v>
      </c>
      <c r="N18" s="31" t="n">
        <v>15400</v>
      </c>
      <c r="O18" s="31" t="n">
        <v>25200</v>
      </c>
      <c r="P18" s="31" t="n">
        <v>35700</v>
      </c>
      <c r="Q18" s="31" t="n">
        <v>46900</v>
      </c>
      <c r="R18" s="31" t="n">
        <v>60200</v>
      </c>
      <c r="S18" s="31" t="n">
        <v>74900</v>
      </c>
      <c r="T18" s="31" t="n">
        <v>91700</v>
      </c>
    </row>
    <row r="19" customFormat="false" ht="15" hidden="false" customHeight="false" outlineLevel="0" collapsed="false">
      <c r="B19" s="36" t="s">
        <v>110</v>
      </c>
      <c r="C19" s="37" t="n">
        <v>0</v>
      </c>
      <c r="D19" s="37" t="n">
        <v>0</v>
      </c>
      <c r="E19" s="37" t="n">
        <v>0</v>
      </c>
      <c r="F19" s="37" t="n">
        <v>0</v>
      </c>
      <c r="G19" s="37" t="n">
        <v>0</v>
      </c>
      <c r="H19" s="37" t="n">
        <v>0</v>
      </c>
      <c r="I19" s="37" t="n">
        <v>0</v>
      </c>
      <c r="J19" s="37" t="n">
        <v>0</v>
      </c>
      <c r="K19" s="37" t="n">
        <v>0</v>
      </c>
      <c r="L19" s="37" t="n">
        <v>0</v>
      </c>
      <c r="M19" s="37" t="n">
        <v>7000</v>
      </c>
      <c r="N19" s="37" t="n">
        <v>15400</v>
      </c>
      <c r="O19" s="37" t="n">
        <v>25200</v>
      </c>
      <c r="P19" s="37" t="n">
        <v>35700</v>
      </c>
      <c r="Q19" s="37" t="n">
        <v>46900</v>
      </c>
      <c r="R19" s="37" t="n">
        <v>60200</v>
      </c>
      <c r="S19" s="37" t="n">
        <v>74900</v>
      </c>
      <c r="T19" s="37" t="n">
        <v>91700</v>
      </c>
    </row>
    <row r="21" customFormat="false" ht="15" hidden="false" customHeight="false" outlineLevel="0" collapsed="false">
      <c r="B21" s="35" t="s">
        <v>111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customFormat="false" ht="15" hidden="false" customHeight="false" outlineLevel="0" collapsed="false">
      <c r="B22" s="29" t="s">
        <v>112</v>
      </c>
      <c r="C22" s="31" t="n">
        <v>150000</v>
      </c>
      <c r="D22" s="31" t="n">
        <v>150000</v>
      </c>
      <c r="E22" s="31" t="n">
        <v>150000</v>
      </c>
      <c r="F22" s="31" t="n">
        <v>150000</v>
      </c>
      <c r="G22" s="31" t="n">
        <v>150000</v>
      </c>
      <c r="H22" s="31" t="n">
        <v>150000</v>
      </c>
      <c r="I22" s="31" t="n">
        <v>150000</v>
      </c>
      <c r="J22" s="31" t="n">
        <v>150000</v>
      </c>
      <c r="K22" s="31" t="n">
        <v>150000</v>
      </c>
      <c r="L22" s="31" t="n">
        <v>150000</v>
      </c>
      <c r="M22" s="31" t="n">
        <v>150000</v>
      </c>
      <c r="N22" s="31" t="n">
        <v>150000</v>
      </c>
      <c r="O22" s="31" t="n">
        <v>150000</v>
      </c>
      <c r="P22" s="31" t="n">
        <v>150000</v>
      </c>
      <c r="Q22" s="31" t="n">
        <v>150000</v>
      </c>
      <c r="R22" s="31" t="n">
        <v>150000</v>
      </c>
      <c r="S22" s="31" t="n">
        <v>150000</v>
      </c>
      <c r="T22" s="31" t="n">
        <v>150000</v>
      </c>
    </row>
    <row r="23" customFormat="false" ht="15" hidden="false" customHeight="false" outlineLevel="0" collapsed="false">
      <c r="B23" s="32" t="s">
        <v>40</v>
      </c>
      <c r="C23" s="31" t="n">
        <v>0</v>
      </c>
      <c r="D23" s="31" t="n">
        <v>0</v>
      </c>
      <c r="E23" s="31" t="n">
        <v>2700</v>
      </c>
      <c r="F23" s="31" t="n">
        <v>2700</v>
      </c>
      <c r="G23" s="31" t="n">
        <v>2700</v>
      </c>
      <c r="H23" s="31" t="n">
        <v>2700</v>
      </c>
      <c r="I23" s="31" t="n">
        <v>2700</v>
      </c>
      <c r="J23" s="31" t="n">
        <v>2700</v>
      </c>
      <c r="K23" s="31" t="n">
        <v>2700</v>
      </c>
      <c r="L23" s="31" t="n">
        <v>2700</v>
      </c>
      <c r="M23" s="31" t="n">
        <v>2700</v>
      </c>
      <c r="N23" s="31" t="n">
        <v>2700</v>
      </c>
      <c r="O23" s="31" t="n">
        <v>2700</v>
      </c>
      <c r="P23" s="31" t="n">
        <v>2700</v>
      </c>
      <c r="Q23" s="31" t="n">
        <v>2700</v>
      </c>
      <c r="R23" s="31" t="n">
        <v>2700</v>
      </c>
      <c r="S23" s="31" t="n">
        <v>2700</v>
      </c>
      <c r="T23" s="31" t="n">
        <v>2700</v>
      </c>
    </row>
    <row r="24" customFormat="false" ht="15" hidden="false" customHeight="false" outlineLevel="0" collapsed="false">
      <c r="B24" s="32" t="s">
        <v>43</v>
      </c>
      <c r="C24" s="31" t="n">
        <v>0</v>
      </c>
      <c r="D24" s="31" t="n">
        <v>0</v>
      </c>
      <c r="E24" s="31" t="n">
        <v>3400</v>
      </c>
      <c r="F24" s="31" t="n">
        <v>3400</v>
      </c>
      <c r="G24" s="31" t="n">
        <v>3400</v>
      </c>
      <c r="H24" s="31" t="n">
        <v>3400</v>
      </c>
      <c r="I24" s="31" t="n">
        <v>3400</v>
      </c>
      <c r="J24" s="31" t="n">
        <v>3400</v>
      </c>
      <c r="K24" s="31" t="n">
        <v>3400</v>
      </c>
      <c r="L24" s="31" t="n">
        <v>3400</v>
      </c>
      <c r="M24" s="31" t="n">
        <v>3400</v>
      </c>
      <c r="N24" s="31" t="n">
        <v>3400</v>
      </c>
      <c r="O24" s="31" t="n">
        <v>3400</v>
      </c>
      <c r="P24" s="31" t="n">
        <v>3400</v>
      </c>
      <c r="Q24" s="31" t="n">
        <v>3400</v>
      </c>
      <c r="R24" s="31" t="n">
        <v>3400</v>
      </c>
      <c r="S24" s="31" t="n">
        <v>3400</v>
      </c>
      <c r="T24" s="31" t="n">
        <v>3400</v>
      </c>
    </row>
    <row r="25" customFormat="false" ht="15" hidden="false" customHeight="false" outlineLevel="0" collapsed="false">
      <c r="B25" s="32" t="s">
        <v>113</v>
      </c>
      <c r="C25" s="31" t="n">
        <v>0</v>
      </c>
      <c r="D25" s="31" t="n">
        <v>0</v>
      </c>
      <c r="E25" s="31" t="n">
        <v>5000</v>
      </c>
      <c r="F25" s="31" t="n">
        <v>5000</v>
      </c>
      <c r="G25" s="31" t="n">
        <v>5000</v>
      </c>
      <c r="H25" s="31" t="n">
        <v>5000</v>
      </c>
      <c r="I25" s="31" t="n">
        <v>7000</v>
      </c>
      <c r="J25" s="31" t="n">
        <v>8000</v>
      </c>
      <c r="K25" s="31" t="n">
        <v>10000</v>
      </c>
      <c r="L25" s="31" t="n">
        <v>12000</v>
      </c>
      <c r="M25" s="31" t="n">
        <v>15000</v>
      </c>
      <c r="N25" s="31" t="n">
        <v>18000</v>
      </c>
      <c r="O25" s="31" t="n">
        <v>22000</v>
      </c>
      <c r="P25" s="31" t="n">
        <v>26000</v>
      </c>
      <c r="Q25" s="31" t="n">
        <v>30000</v>
      </c>
      <c r="R25" s="31" t="n">
        <v>35000</v>
      </c>
      <c r="S25" s="31" t="n">
        <v>40000</v>
      </c>
      <c r="T25" s="31" t="n">
        <v>45000</v>
      </c>
    </row>
    <row r="26" customFormat="false" ht="15" hidden="false" customHeight="false" outlineLevel="0" collapsed="false">
      <c r="B26" s="29" t="s">
        <v>47</v>
      </c>
      <c r="C26" s="31" t="n">
        <v>200</v>
      </c>
      <c r="D26" s="31" t="n">
        <v>200</v>
      </c>
      <c r="E26" s="31" t="n">
        <v>200</v>
      </c>
      <c r="F26" s="31" t="n">
        <v>200</v>
      </c>
      <c r="G26" s="31" t="n">
        <v>200</v>
      </c>
      <c r="H26" s="31" t="n">
        <v>200</v>
      </c>
      <c r="I26" s="31" t="n">
        <v>200</v>
      </c>
      <c r="J26" s="31" t="n">
        <v>200</v>
      </c>
      <c r="K26" s="31" t="n">
        <v>200</v>
      </c>
      <c r="L26" s="31" t="n">
        <v>200</v>
      </c>
      <c r="M26" s="31" t="n">
        <v>200</v>
      </c>
      <c r="N26" s="31" t="n">
        <v>200</v>
      </c>
      <c r="O26" s="31" t="n">
        <v>200</v>
      </c>
      <c r="P26" s="31" t="n">
        <v>200</v>
      </c>
      <c r="Q26" s="31" t="n">
        <v>200</v>
      </c>
      <c r="R26" s="31" t="n">
        <v>200</v>
      </c>
      <c r="S26" s="31" t="n">
        <v>200</v>
      </c>
      <c r="T26" s="31" t="n">
        <v>200</v>
      </c>
    </row>
    <row r="27" customFormat="false" ht="15" hidden="false" customHeight="false" outlineLevel="0" collapsed="false">
      <c r="B27" s="32" t="s">
        <v>114</v>
      </c>
      <c r="C27" s="31" t="n">
        <v>0</v>
      </c>
      <c r="D27" s="31" t="n">
        <v>0</v>
      </c>
      <c r="E27" s="31" t="n">
        <v>0</v>
      </c>
      <c r="F27" s="31" t="n">
        <v>0</v>
      </c>
      <c r="G27" s="31" t="n">
        <v>0</v>
      </c>
      <c r="H27" s="31" t="n">
        <v>0</v>
      </c>
      <c r="I27" s="31" t="n">
        <v>0</v>
      </c>
      <c r="J27" s="31" t="n">
        <v>0</v>
      </c>
      <c r="K27" s="31" t="n">
        <v>0</v>
      </c>
      <c r="L27" s="31" t="n">
        <v>0</v>
      </c>
      <c r="M27" s="31" t="n">
        <v>251</v>
      </c>
      <c r="N27" s="31" t="n">
        <v>554</v>
      </c>
      <c r="O27" s="31" t="n">
        <v>907</v>
      </c>
      <c r="P27" s="31" t="n">
        <v>1285</v>
      </c>
      <c r="Q27" s="31" t="n">
        <v>1688</v>
      </c>
      <c r="R27" s="31" t="n">
        <v>2167</v>
      </c>
      <c r="S27" s="31" t="n">
        <v>2696</v>
      </c>
      <c r="T27" s="31" t="n">
        <v>3301</v>
      </c>
    </row>
    <row r="28" customFormat="false" ht="15" hidden="false" customHeight="false" outlineLevel="0" collapsed="false">
      <c r="B28" s="29" t="s">
        <v>52</v>
      </c>
      <c r="C28" s="31" t="n">
        <v>0</v>
      </c>
      <c r="D28" s="31" t="n">
        <v>0</v>
      </c>
      <c r="E28" s="31" t="n">
        <v>0</v>
      </c>
      <c r="F28" s="31" t="n">
        <v>0</v>
      </c>
      <c r="G28" s="31" t="n">
        <v>0</v>
      </c>
      <c r="H28" s="31" t="n">
        <v>0</v>
      </c>
      <c r="I28" s="31" t="n">
        <v>0</v>
      </c>
      <c r="J28" s="31" t="n">
        <v>0</v>
      </c>
      <c r="K28" s="31" t="n">
        <v>0</v>
      </c>
      <c r="L28" s="31" t="n">
        <v>0</v>
      </c>
      <c r="M28" s="31" t="n">
        <v>0</v>
      </c>
      <c r="N28" s="31" t="n">
        <v>0</v>
      </c>
      <c r="O28" s="31" t="n">
        <v>0</v>
      </c>
      <c r="P28" s="31" t="n">
        <v>0</v>
      </c>
      <c r="Q28" s="31" t="n">
        <v>50000</v>
      </c>
      <c r="R28" s="31" t="n">
        <v>50000</v>
      </c>
      <c r="S28" s="31" t="n">
        <v>80000</v>
      </c>
      <c r="T28" s="31" t="n">
        <v>100000</v>
      </c>
    </row>
    <row r="29" customFormat="false" ht="15" hidden="false" customHeight="false" outlineLevel="0" collapsed="false">
      <c r="B29" s="29" t="s">
        <v>115</v>
      </c>
      <c r="C29" s="31" t="n">
        <v>0</v>
      </c>
      <c r="D29" s="31" t="n">
        <v>0</v>
      </c>
      <c r="E29" s="31" t="n">
        <v>3000</v>
      </c>
      <c r="F29" s="31" t="n">
        <v>3000</v>
      </c>
      <c r="G29" s="31" t="n">
        <v>3000</v>
      </c>
      <c r="H29" s="31" t="n">
        <v>3000</v>
      </c>
      <c r="I29" s="31" t="n">
        <v>3000</v>
      </c>
      <c r="J29" s="31" t="n">
        <v>3000</v>
      </c>
      <c r="K29" s="31" t="n">
        <v>3000</v>
      </c>
      <c r="L29" s="31" t="n">
        <v>3000</v>
      </c>
      <c r="M29" s="31" t="n">
        <v>3000</v>
      </c>
      <c r="N29" s="31" t="n">
        <v>3000</v>
      </c>
      <c r="O29" s="31" t="n">
        <v>3000</v>
      </c>
      <c r="P29" s="31" t="n">
        <v>3000</v>
      </c>
      <c r="Q29" s="31" t="n">
        <v>3000</v>
      </c>
      <c r="R29" s="31" t="n">
        <v>3000</v>
      </c>
      <c r="S29" s="31" t="n">
        <v>3000</v>
      </c>
      <c r="T29" s="31" t="n">
        <v>3000</v>
      </c>
    </row>
    <row r="30" customFormat="false" ht="15" hidden="false" customHeight="false" outlineLevel="0" collapsed="false">
      <c r="B30" s="38" t="s">
        <v>116</v>
      </c>
      <c r="C30" s="37" t="n">
        <f aca="false">SUM(C22:C29)</f>
        <v>150200</v>
      </c>
      <c r="D30" s="37" t="n">
        <f aca="false">SUM(D22:D29)</f>
        <v>150200</v>
      </c>
      <c r="E30" s="37" t="n">
        <f aca="false">SUM(E22:E29)</f>
        <v>164300</v>
      </c>
      <c r="F30" s="37" t="n">
        <f aca="false">SUM(F22:F29)</f>
        <v>164300</v>
      </c>
      <c r="G30" s="37" t="n">
        <f aca="false">SUM(G22:G29)</f>
        <v>164300</v>
      </c>
      <c r="H30" s="37" t="n">
        <f aca="false">SUM(H22:H29)</f>
        <v>164300</v>
      </c>
      <c r="I30" s="37" t="n">
        <f aca="false">SUM(I22:I29)</f>
        <v>166300</v>
      </c>
      <c r="J30" s="37" t="n">
        <f aca="false">SUM(J22:J29)</f>
        <v>167300</v>
      </c>
      <c r="K30" s="37" t="n">
        <f aca="false">SUM(K22:K29)</f>
        <v>169300</v>
      </c>
      <c r="L30" s="37" t="n">
        <f aca="false">SUM(L22:L29)</f>
        <v>171300</v>
      </c>
      <c r="M30" s="37" t="n">
        <f aca="false">SUM(M22:M29)</f>
        <v>174551</v>
      </c>
      <c r="N30" s="37" t="n">
        <f aca="false">SUM(N22:N29)</f>
        <v>177854</v>
      </c>
      <c r="O30" s="37" t="n">
        <f aca="false">SUM(O22:O29)</f>
        <v>182207</v>
      </c>
      <c r="P30" s="37" t="n">
        <f aca="false">SUM(P22:P29)</f>
        <v>186585</v>
      </c>
      <c r="Q30" s="37" t="n">
        <f aca="false">SUM(Q22:Q29)</f>
        <v>240988</v>
      </c>
      <c r="R30" s="37" t="n">
        <f aca="false">SUM(R22:R29)</f>
        <v>246467</v>
      </c>
      <c r="S30" s="37" t="n">
        <f aca="false">SUM(S22:S29)</f>
        <v>281996</v>
      </c>
      <c r="T30" s="37" t="n">
        <f aca="false">SUM(T22:T29)</f>
        <v>307601</v>
      </c>
    </row>
    <row r="32" customFormat="false" ht="15" hidden="false" customHeight="false" outlineLevel="0" collapsed="false">
      <c r="B32" s="35" t="s">
        <v>117</v>
      </c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</row>
    <row r="33" customFormat="false" ht="15" hidden="false" customHeight="false" outlineLevel="0" collapsed="false">
      <c r="B33" s="36" t="s">
        <v>118</v>
      </c>
      <c r="C33" s="39" t="n">
        <f aca="false">C19-C30</f>
        <v>-150200</v>
      </c>
      <c r="D33" s="39" t="n">
        <f aca="false">D19-D30</f>
        <v>-150200</v>
      </c>
      <c r="E33" s="39" t="n">
        <f aca="false">E19-E30</f>
        <v>-164300</v>
      </c>
      <c r="F33" s="39" t="n">
        <f aca="false">F19-F30</f>
        <v>-164300</v>
      </c>
      <c r="G33" s="39" t="n">
        <f aca="false">G19-G30</f>
        <v>-164300</v>
      </c>
      <c r="H33" s="39" t="n">
        <f aca="false">H19-H30</f>
        <v>-164300</v>
      </c>
      <c r="I33" s="39" t="n">
        <f aca="false">I19-I30</f>
        <v>-166300</v>
      </c>
      <c r="J33" s="39" t="n">
        <f aca="false">J19-J30</f>
        <v>-167300</v>
      </c>
      <c r="K33" s="39" t="n">
        <f aca="false">K19-K30</f>
        <v>-169300</v>
      </c>
      <c r="L33" s="39" t="n">
        <f aca="false">L19-L30</f>
        <v>-171300</v>
      </c>
      <c r="M33" s="39" t="n">
        <f aca="false">M19-M30</f>
        <v>-167551</v>
      </c>
      <c r="N33" s="39" t="n">
        <f aca="false">N19-N30</f>
        <v>-162454</v>
      </c>
      <c r="O33" s="39" t="n">
        <f aca="false">O19-O30</f>
        <v>-157007</v>
      </c>
      <c r="P33" s="39" t="n">
        <f aca="false">P19-P30</f>
        <v>-150885</v>
      </c>
      <c r="Q33" s="39" t="n">
        <f aca="false">Q19-Q30</f>
        <v>-194088</v>
      </c>
      <c r="R33" s="39" t="n">
        <f aca="false">R19-R30</f>
        <v>-186267</v>
      </c>
      <c r="S33" s="39" t="n">
        <f aca="false">S19-S30</f>
        <v>-207096</v>
      </c>
      <c r="T33" s="39" t="n">
        <f aca="false">T19-T30</f>
        <v>-215901</v>
      </c>
    </row>
    <row r="34" customFormat="false" ht="15" hidden="false" customHeight="false" outlineLevel="0" collapsed="false">
      <c r="B34" s="36" t="s">
        <v>119</v>
      </c>
      <c r="C34" s="39" t="n">
        <f aca="false">C33</f>
        <v>-150200</v>
      </c>
      <c r="D34" s="39" t="n">
        <f aca="false">C34+D33</f>
        <v>-300400</v>
      </c>
      <c r="E34" s="39" t="n">
        <f aca="false">D34+E33</f>
        <v>-464700</v>
      </c>
      <c r="F34" s="39" t="n">
        <f aca="false">E34+F33</f>
        <v>-629000</v>
      </c>
      <c r="G34" s="39" t="n">
        <f aca="false">F34+G33</f>
        <v>-793300</v>
      </c>
      <c r="H34" s="39" t="n">
        <f aca="false">G34+H33</f>
        <v>-957600</v>
      </c>
      <c r="I34" s="39" t="n">
        <f aca="false">H34+I33</f>
        <v>-1123900</v>
      </c>
      <c r="J34" s="39" t="n">
        <f aca="false">I34+J33</f>
        <v>-1291200</v>
      </c>
      <c r="K34" s="39" t="n">
        <f aca="false">J34+K33</f>
        <v>-1460500</v>
      </c>
      <c r="L34" s="39" t="n">
        <f aca="false">K34+L33</f>
        <v>-1631800</v>
      </c>
      <c r="M34" s="39" t="n">
        <f aca="false">L34+M33</f>
        <v>-1799351</v>
      </c>
      <c r="N34" s="39" t="n">
        <f aca="false">M34+N33</f>
        <v>-1961805</v>
      </c>
      <c r="O34" s="39" t="n">
        <f aca="false">N34+O33</f>
        <v>-2118812</v>
      </c>
      <c r="P34" s="39" t="n">
        <f aca="false">O34+P33</f>
        <v>-2269697</v>
      </c>
      <c r="Q34" s="39" t="n">
        <f aca="false">P34+Q33</f>
        <v>-2463785</v>
      </c>
      <c r="R34" s="39" t="n">
        <f aca="false">Q34+R33</f>
        <v>-2650052</v>
      </c>
      <c r="S34" s="39" t="n">
        <f aca="false">R34+S33</f>
        <v>-2857148</v>
      </c>
      <c r="T34" s="39" t="n">
        <f aca="false">S34+T33</f>
        <v>-3073049</v>
      </c>
    </row>
    <row r="36" customFormat="false" ht="15" hidden="false" customHeight="false" outlineLevel="0" collapsed="false">
      <c r="B36" s="35" t="s">
        <v>120</v>
      </c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</row>
    <row r="37" customFormat="false" ht="15" hidden="false" customHeight="false" outlineLevel="0" collapsed="false">
      <c r="B37" s="32" t="s">
        <v>121</v>
      </c>
      <c r="C37" s="40" t="n">
        <f aca="false">C19</f>
        <v>0</v>
      </c>
      <c r="D37" s="40" t="n">
        <f aca="false">D19</f>
        <v>0</v>
      </c>
      <c r="E37" s="40" t="n">
        <f aca="false">E19</f>
        <v>0</v>
      </c>
      <c r="F37" s="40" t="n">
        <f aca="false">F19</f>
        <v>0</v>
      </c>
      <c r="G37" s="40" t="n">
        <f aca="false">G19</f>
        <v>0</v>
      </c>
      <c r="H37" s="40" t="n">
        <f aca="false">H19</f>
        <v>0</v>
      </c>
      <c r="I37" s="40" t="n">
        <f aca="false">I19</f>
        <v>0</v>
      </c>
      <c r="J37" s="40" t="n">
        <f aca="false">J19</f>
        <v>0</v>
      </c>
      <c r="K37" s="40" t="n">
        <f aca="false">K19</f>
        <v>0</v>
      </c>
      <c r="L37" s="40" t="n">
        <f aca="false">L19</f>
        <v>0</v>
      </c>
      <c r="M37" s="40" t="n">
        <f aca="false">M19</f>
        <v>7000</v>
      </c>
      <c r="N37" s="40" t="n">
        <f aca="false">N19</f>
        <v>15400</v>
      </c>
      <c r="O37" s="40" t="n">
        <f aca="false">O19</f>
        <v>25200</v>
      </c>
      <c r="P37" s="40" t="n">
        <f aca="false">P19</f>
        <v>35700</v>
      </c>
      <c r="Q37" s="40" t="n">
        <f aca="false">Q19</f>
        <v>46900</v>
      </c>
      <c r="R37" s="40" t="n">
        <f aca="false">R19</f>
        <v>60200</v>
      </c>
      <c r="S37" s="40" t="n">
        <f aca="false">S19</f>
        <v>74900</v>
      </c>
      <c r="T37" s="40" t="n">
        <f aca="false">T19</f>
        <v>91700</v>
      </c>
    </row>
    <row r="38" customFormat="false" ht="15" hidden="false" customHeight="false" outlineLevel="0" collapsed="false">
      <c r="B38" s="32" t="s">
        <v>122</v>
      </c>
      <c r="C38" s="40" t="n">
        <f aca="false">C37*12</f>
        <v>0</v>
      </c>
      <c r="D38" s="40" t="n">
        <f aca="false">D37*12</f>
        <v>0</v>
      </c>
      <c r="E38" s="40" t="n">
        <f aca="false">E37*12</f>
        <v>0</v>
      </c>
      <c r="F38" s="40" t="n">
        <f aca="false">F37*12</f>
        <v>0</v>
      </c>
      <c r="G38" s="40" t="n">
        <f aca="false">G37*12</f>
        <v>0</v>
      </c>
      <c r="H38" s="40" t="n">
        <f aca="false">H37*12</f>
        <v>0</v>
      </c>
      <c r="I38" s="40" t="n">
        <f aca="false">I37*12</f>
        <v>0</v>
      </c>
      <c r="J38" s="40" t="n">
        <f aca="false">J37*12</f>
        <v>0</v>
      </c>
      <c r="K38" s="40" t="n">
        <f aca="false">K37*12</f>
        <v>0</v>
      </c>
      <c r="L38" s="40" t="n">
        <f aca="false">L37*12</f>
        <v>0</v>
      </c>
      <c r="M38" s="40" t="n">
        <f aca="false">M37*12</f>
        <v>84000</v>
      </c>
      <c r="N38" s="40" t="n">
        <f aca="false">N37*12</f>
        <v>184800</v>
      </c>
      <c r="O38" s="40" t="n">
        <f aca="false">O37*12</f>
        <v>302400</v>
      </c>
      <c r="P38" s="40" t="n">
        <f aca="false">P37*12</f>
        <v>428400</v>
      </c>
      <c r="Q38" s="40" t="n">
        <f aca="false">Q37*12</f>
        <v>562800</v>
      </c>
      <c r="R38" s="40" t="n">
        <f aca="false">R37*12</f>
        <v>722400</v>
      </c>
      <c r="S38" s="40" t="n">
        <f aca="false">S37*12</f>
        <v>898800</v>
      </c>
      <c r="T38" s="40" t="n">
        <f aca="false">T37*12</f>
        <v>1100400</v>
      </c>
    </row>
    <row r="39" customFormat="false" ht="15" hidden="false" customHeight="false" outlineLevel="0" collapsed="false">
      <c r="B39" s="32" t="s">
        <v>123</v>
      </c>
      <c r="C39" s="40" t="n">
        <v>0</v>
      </c>
      <c r="D39" s="40" t="n">
        <v>0</v>
      </c>
      <c r="E39" s="40" t="n">
        <v>0</v>
      </c>
      <c r="F39" s="40" t="n">
        <v>0</v>
      </c>
      <c r="G39" s="40" t="n">
        <v>0</v>
      </c>
      <c r="H39" s="40" t="n">
        <v>0</v>
      </c>
      <c r="I39" s="40" t="n">
        <v>0</v>
      </c>
      <c r="J39" s="40" t="n">
        <v>0</v>
      </c>
      <c r="K39" s="40" t="n">
        <v>0</v>
      </c>
      <c r="L39" s="40" t="n">
        <v>0</v>
      </c>
      <c r="M39" s="40" t="n">
        <v>17500</v>
      </c>
      <c r="N39" s="40" t="n">
        <v>17500</v>
      </c>
      <c r="O39" s="40" t="n">
        <v>17500</v>
      </c>
      <c r="P39" s="40" t="n">
        <v>17500</v>
      </c>
      <c r="Q39" s="40" t="n">
        <v>17500</v>
      </c>
      <c r="R39" s="40" t="n">
        <v>17500</v>
      </c>
      <c r="S39" s="40" t="n">
        <v>17500</v>
      </c>
      <c r="T39" s="40" t="n">
        <v>17500</v>
      </c>
    </row>
  </sheetData>
  <mergeCells count="2">
    <mergeCell ref="B2:S2"/>
    <mergeCell ref="B3:S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849A"/>
    <pageSetUpPr fitToPage="false"/>
  </sheetPr>
  <dimension ref="B2:G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5" min="3" style="0" width="18"/>
    <col collapsed="false" customWidth="true" hidden="false" outlineLevel="0" max="6" min="6" style="0" width="5"/>
    <col collapsed="false" customWidth="true" hidden="false" outlineLevel="0" max="7" min="7" style="0" width="40"/>
  </cols>
  <sheetData>
    <row r="2" customFormat="false" ht="30.55" hidden="false" customHeight="false" outlineLevel="0" collapsed="false">
      <c r="B2" s="1" t="s">
        <v>124</v>
      </c>
      <c r="C2" s="1"/>
      <c r="D2" s="1"/>
      <c r="E2" s="1"/>
    </row>
    <row r="3" customFormat="false" ht="17.15" hidden="false" customHeight="false" outlineLevel="0" collapsed="false">
      <c r="B3" s="2" t="s">
        <v>125</v>
      </c>
      <c r="C3" s="2"/>
      <c r="D3" s="2"/>
      <c r="E3" s="2"/>
    </row>
    <row r="5" customFormat="false" ht="15" hidden="false" customHeight="false" outlineLevel="0" collapsed="false">
      <c r="B5" s="41" t="s">
        <v>58</v>
      </c>
      <c r="C5" s="25" t="s">
        <v>59</v>
      </c>
      <c r="D5" s="25" t="s">
        <v>60</v>
      </c>
      <c r="E5" s="25" t="s">
        <v>61</v>
      </c>
    </row>
    <row r="6" customFormat="false" ht="15" hidden="false" customHeight="false" outlineLevel="0" collapsed="false">
      <c r="B6" s="29" t="s">
        <v>102</v>
      </c>
      <c r="C6" s="31" t="n">
        <v>1789</v>
      </c>
      <c r="D6" s="31" t="n">
        <v>5565</v>
      </c>
      <c r="E6" s="31" t="n">
        <v>17481</v>
      </c>
    </row>
    <row r="7" customFormat="false" ht="15" hidden="false" customHeight="false" outlineLevel="0" collapsed="false">
      <c r="B7" s="32" t="s">
        <v>105</v>
      </c>
      <c r="C7" s="31" t="n">
        <v>21</v>
      </c>
      <c r="D7" s="31" t="n">
        <v>131</v>
      </c>
      <c r="E7" s="31" t="n">
        <v>656</v>
      </c>
    </row>
    <row r="8" customFormat="false" ht="15" hidden="false" customHeight="false" outlineLevel="0" collapsed="false">
      <c r="B8" s="32" t="s">
        <v>126</v>
      </c>
      <c r="C8" s="34" t="n">
        <v>0.0117384013415316</v>
      </c>
      <c r="D8" s="34" t="n">
        <v>0.0235399820305481</v>
      </c>
      <c r="E8" s="34" t="n">
        <v>0.0375264572964933</v>
      </c>
    </row>
    <row r="9" customFormat="false" ht="15" hidden="false" customHeight="false" outlineLevel="0" collapsed="false">
      <c r="B9" s="29" t="s">
        <v>127</v>
      </c>
      <c r="C9" s="31" t="n">
        <v>15120</v>
      </c>
      <c r="D9" s="31" t="n">
        <v>91700</v>
      </c>
      <c r="E9" s="31" t="n">
        <v>446080</v>
      </c>
    </row>
    <row r="10" customFormat="false" ht="15" hidden="false" customHeight="false" outlineLevel="0" collapsed="false">
      <c r="B10" s="29" t="s">
        <v>128</v>
      </c>
      <c r="C10" s="31" t="n">
        <v>181440</v>
      </c>
      <c r="D10" s="31" t="n">
        <v>1100400</v>
      </c>
      <c r="E10" s="31" t="n">
        <v>5352960</v>
      </c>
    </row>
    <row r="11" customFormat="false" ht="15" hidden="false" customHeight="false" outlineLevel="0" collapsed="false">
      <c r="B11" s="32" t="s">
        <v>129</v>
      </c>
      <c r="C11" s="31" t="n">
        <v>59760</v>
      </c>
      <c r="D11" s="31" t="n">
        <v>357000</v>
      </c>
      <c r="E11" s="31" t="n">
        <v>1621120</v>
      </c>
    </row>
    <row r="12" customFormat="false" ht="15" hidden="false" customHeight="false" outlineLevel="0" collapsed="false">
      <c r="B12" s="32" t="s">
        <v>130</v>
      </c>
      <c r="C12" s="31" t="n">
        <v>3478947</v>
      </c>
      <c r="D12" s="31" t="n">
        <v>3489649</v>
      </c>
      <c r="E12" s="31" t="n">
        <v>3535157</v>
      </c>
    </row>
    <row r="13" customFormat="false" ht="15" hidden="false" customHeight="false" outlineLevel="0" collapsed="false">
      <c r="B13" s="42" t="s">
        <v>131</v>
      </c>
      <c r="C13" s="43" t="n">
        <v>-3419187</v>
      </c>
      <c r="D13" s="43" t="n">
        <v>-3132649</v>
      </c>
      <c r="E13" s="43" t="n">
        <v>-1914037</v>
      </c>
    </row>
    <row r="14" customFormat="false" ht="15" hidden="false" customHeight="false" outlineLevel="0" collapsed="false">
      <c r="B14" s="29" t="s">
        <v>132</v>
      </c>
      <c r="C14" s="31" t="n">
        <v>14400</v>
      </c>
      <c r="D14" s="31" t="n">
        <v>17500</v>
      </c>
      <c r="E14" s="31" t="n">
        <v>22666</v>
      </c>
      <c r="G14" s="5" t="s">
        <v>133</v>
      </c>
    </row>
    <row r="15" customFormat="false" ht="15" hidden="false" customHeight="false" outlineLevel="0" collapsed="false">
      <c r="B15" s="29" t="s">
        <v>134</v>
      </c>
      <c r="C15" s="31" t="n">
        <v>1944</v>
      </c>
      <c r="D15" s="31" t="n">
        <v>627</v>
      </c>
      <c r="E15" s="31" t="n">
        <v>202</v>
      </c>
      <c r="G15" s="8" t="s">
        <v>135</v>
      </c>
    </row>
    <row r="16" customFormat="false" ht="15" hidden="false" customHeight="false" outlineLevel="0" collapsed="false">
      <c r="B16" s="32" t="s">
        <v>136</v>
      </c>
      <c r="C16" s="44" t="n">
        <v>7.40740740740741</v>
      </c>
      <c r="D16" s="44" t="n">
        <v>27.9106858054227</v>
      </c>
      <c r="E16" s="44" t="n">
        <v>112.207920792079</v>
      </c>
      <c r="G16" s="5" t="s">
        <v>137</v>
      </c>
    </row>
    <row r="19" customFormat="false" ht="15" hidden="false" customHeight="false" outlineLevel="0" collapsed="false">
      <c r="B19" s="3" t="s">
        <v>138</v>
      </c>
      <c r="C19" s="3"/>
      <c r="D19" s="3"/>
      <c r="E19" s="3"/>
    </row>
    <row r="20" customFormat="false" ht="15" hidden="false" customHeight="false" outlineLevel="0" collapsed="false">
      <c r="B20" s="29" t="s">
        <v>139</v>
      </c>
      <c r="C20" s="45" t="s">
        <v>140</v>
      </c>
      <c r="D20" s="46"/>
      <c r="E20" s="47" t="s">
        <v>141</v>
      </c>
    </row>
    <row r="21" customFormat="false" ht="15" hidden="false" customHeight="false" outlineLevel="0" collapsed="false">
      <c r="B21" s="32" t="s">
        <v>142</v>
      </c>
      <c r="C21" s="45" t="s">
        <v>143</v>
      </c>
      <c r="D21" s="46"/>
      <c r="E21" s="48" t="s">
        <v>144</v>
      </c>
    </row>
    <row r="22" customFormat="false" ht="15" hidden="false" customHeight="false" outlineLevel="0" collapsed="false">
      <c r="B22" s="32" t="s">
        <v>145</v>
      </c>
      <c r="C22" s="49" t="s">
        <v>146</v>
      </c>
      <c r="D22" s="46"/>
      <c r="E22" s="48" t="s">
        <v>147</v>
      </c>
    </row>
    <row r="23" customFormat="false" ht="15" hidden="false" customHeight="false" outlineLevel="0" collapsed="false">
      <c r="B23" s="32" t="s">
        <v>148</v>
      </c>
      <c r="C23" s="49" t="s">
        <v>149</v>
      </c>
      <c r="D23" s="46"/>
      <c r="E23" s="48" t="s">
        <v>150</v>
      </c>
    </row>
    <row r="26" customFormat="false" ht="15" hidden="false" customHeight="false" outlineLevel="0" collapsed="false">
      <c r="B26" s="3" t="s">
        <v>151</v>
      </c>
      <c r="C26" s="3"/>
      <c r="D26" s="3"/>
      <c r="E26" s="3"/>
    </row>
    <row r="27" customFormat="false" ht="15" hidden="false" customHeight="true" outlineLevel="0" collapsed="false">
      <c r="B27" s="24" t="s">
        <v>152</v>
      </c>
      <c r="C27" s="50" t="s">
        <v>153</v>
      </c>
      <c r="D27" s="50"/>
      <c r="E27" s="50"/>
    </row>
    <row r="28" customFormat="false" ht="29.85" hidden="false" customHeight="true" outlineLevel="0" collapsed="false">
      <c r="B28" s="24" t="s">
        <v>154</v>
      </c>
      <c r="C28" s="50" t="s">
        <v>155</v>
      </c>
      <c r="D28" s="50"/>
      <c r="E28" s="50"/>
    </row>
    <row r="29" customFormat="false" ht="29.85" hidden="false" customHeight="true" outlineLevel="0" collapsed="false">
      <c r="B29" s="24" t="s">
        <v>156</v>
      </c>
      <c r="C29" s="51" t="s">
        <v>157</v>
      </c>
      <c r="D29" s="51"/>
      <c r="E29" s="51"/>
    </row>
    <row r="30" customFormat="false" ht="29.85" hidden="false" customHeight="true" outlineLevel="0" collapsed="false">
      <c r="B30" s="24" t="s">
        <v>158</v>
      </c>
      <c r="C30" s="51" t="s">
        <v>159</v>
      </c>
      <c r="D30" s="51"/>
      <c r="E30" s="51"/>
    </row>
    <row r="31" customFormat="false" ht="29.85" hidden="false" customHeight="true" outlineLevel="0" collapsed="false">
      <c r="B31" s="24" t="s">
        <v>160</v>
      </c>
      <c r="C31" s="50" t="s">
        <v>161</v>
      </c>
      <c r="D31" s="50"/>
      <c r="E31" s="50"/>
    </row>
    <row r="32" customFormat="false" ht="29.85" hidden="false" customHeight="true" outlineLevel="0" collapsed="false">
      <c r="B32" s="24" t="s">
        <v>162</v>
      </c>
      <c r="C32" s="50" t="s">
        <v>163</v>
      </c>
      <c r="D32" s="50"/>
      <c r="E32" s="50"/>
    </row>
  </sheetData>
  <mergeCells count="10">
    <mergeCell ref="B2:E2"/>
    <mergeCell ref="B3:E3"/>
    <mergeCell ref="B19:E19"/>
    <mergeCell ref="B26:E26"/>
    <mergeCell ref="C27:E27"/>
    <mergeCell ref="C28:E28"/>
    <mergeCell ref="C29:E29"/>
    <mergeCell ref="C30:E30"/>
    <mergeCell ref="C31:E31"/>
    <mergeCell ref="C32:E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false"/>
  </sheetPr>
  <dimension ref="B2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40"/>
  </cols>
  <sheetData>
    <row r="2" customFormat="false" ht="30.55" hidden="false" customHeight="false" outlineLevel="0" collapsed="false">
      <c r="B2" s="1" t="s">
        <v>164</v>
      </c>
      <c r="C2" s="1"/>
      <c r="D2" s="1"/>
      <c r="E2" s="1"/>
    </row>
    <row r="3" customFormat="false" ht="17.15" hidden="false" customHeight="false" outlineLevel="0" collapsed="false">
      <c r="B3" s="2" t="s">
        <v>165</v>
      </c>
      <c r="C3" s="2"/>
      <c r="D3" s="2"/>
      <c r="E3" s="2"/>
    </row>
    <row r="5" customFormat="false" ht="15" hidden="false" customHeight="false" outlineLevel="0" collapsed="false">
      <c r="B5" s="41" t="s">
        <v>33</v>
      </c>
      <c r="C5" s="41" t="s">
        <v>166</v>
      </c>
      <c r="D5" s="41" t="s">
        <v>167</v>
      </c>
      <c r="E5" s="41" t="s">
        <v>36</v>
      </c>
    </row>
    <row r="6" customFormat="false" ht="15" hidden="false" customHeight="false" outlineLevel="0" collapsed="false">
      <c r="B6" s="21" t="s">
        <v>168</v>
      </c>
      <c r="C6" s="52" t="n">
        <v>75000</v>
      </c>
      <c r="D6" s="53" t="s">
        <v>169</v>
      </c>
      <c r="E6" s="20" t="s">
        <v>170</v>
      </c>
    </row>
    <row r="7" customFormat="false" ht="15" hidden="false" customHeight="false" outlineLevel="0" collapsed="false">
      <c r="B7" s="16" t="s">
        <v>171</v>
      </c>
      <c r="C7" s="54" t="n">
        <v>300000</v>
      </c>
      <c r="D7" s="55" t="s">
        <v>172</v>
      </c>
      <c r="E7" s="18" t="s">
        <v>173</v>
      </c>
    </row>
    <row r="8" customFormat="false" ht="15" hidden="false" customHeight="false" outlineLevel="0" collapsed="false">
      <c r="B8" s="21" t="s">
        <v>174</v>
      </c>
      <c r="C8" s="52" t="n">
        <v>3000</v>
      </c>
      <c r="D8" s="56" t="s">
        <v>175</v>
      </c>
      <c r="E8" s="20" t="s">
        <v>176</v>
      </c>
    </row>
    <row r="9" customFormat="false" ht="15" hidden="false" customHeight="false" outlineLevel="0" collapsed="false">
      <c r="B9" s="10" t="s">
        <v>177</v>
      </c>
      <c r="C9" s="54" t="n">
        <v>5400</v>
      </c>
      <c r="D9" s="55" t="s">
        <v>178</v>
      </c>
      <c r="E9" s="18" t="s">
        <v>179</v>
      </c>
    </row>
    <row r="10" customFormat="false" ht="15" hidden="false" customHeight="false" outlineLevel="0" collapsed="false">
      <c r="B10" s="13" t="s">
        <v>180</v>
      </c>
      <c r="C10" s="52" t="n">
        <v>6800</v>
      </c>
      <c r="D10" s="53" t="s">
        <v>178</v>
      </c>
      <c r="E10" s="20" t="s">
        <v>181</v>
      </c>
    </row>
    <row r="11" customFormat="false" ht="15" hidden="false" customHeight="false" outlineLevel="0" collapsed="false">
      <c r="B11" s="10" t="s">
        <v>182</v>
      </c>
      <c r="C11" s="54" t="n">
        <v>10000</v>
      </c>
      <c r="D11" s="55" t="s">
        <v>178</v>
      </c>
      <c r="E11" s="12" t="s">
        <v>183</v>
      </c>
    </row>
    <row r="12" customFormat="false" ht="15" hidden="false" customHeight="false" outlineLevel="0" collapsed="false">
      <c r="B12" s="21" t="s">
        <v>184</v>
      </c>
      <c r="C12" s="52" t="n">
        <v>5000</v>
      </c>
      <c r="D12" s="53" t="s">
        <v>24</v>
      </c>
      <c r="E12" s="20" t="s">
        <v>185</v>
      </c>
    </row>
    <row r="13" customFormat="false" ht="15" hidden="false" customHeight="false" outlineLevel="0" collapsed="false">
      <c r="B13" s="16" t="s">
        <v>186</v>
      </c>
      <c r="C13" s="54" t="n">
        <v>94800</v>
      </c>
      <c r="D13" s="55" t="s">
        <v>24</v>
      </c>
      <c r="E13" s="12" t="s">
        <v>187</v>
      </c>
    </row>
    <row r="14" customFormat="false" ht="15" hidden="false" customHeight="false" outlineLevel="0" collapsed="false">
      <c r="B14" s="38" t="s">
        <v>188</v>
      </c>
      <c r="C14" s="37" t="n">
        <f aca="false">SUM(C6:C13)</f>
        <v>500000</v>
      </c>
      <c r="D14" s="57"/>
      <c r="E14" s="57"/>
    </row>
  </sheetData>
  <mergeCells count="2">
    <mergeCell ref="B2:E2"/>
    <mergeCell ref="B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2026-02-10T02:48:30Z</dcterms:created>
  <dc:creator>openpyxl</dc:creator>
  <dc:description/>
  <dc:language>en-US</dc:language>
  <cp:lastModifiedBy/>
  <dcterms:modified xsi:type="dcterms:W3CDTF">2026-02-10T02:48:30Z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